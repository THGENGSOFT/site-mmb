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workbookProtection workbookPassword="8871" lockStructure="1"/>
  <bookViews>
    <workbookView xWindow="240" yWindow="60" windowWidth="19410" windowHeight="7950"/>
  </bookViews>
  <sheets>
    <sheet name="Modelo 17% " sheetId="8" r:id="rId1"/>
    <sheet name="Modelo 12%" sheetId="9" r:id="rId2"/>
    <sheet name="Modelo 7%" sheetId="10" r:id="rId3"/>
  </sheets>
  <definedNames>
    <definedName name="_xlnm.Print_Titles" localSheetId="2">'Modelo 7%'!$1:$3</definedName>
  </definedNames>
  <calcPr calcId="144525"/>
</workbook>
</file>

<file path=xl/calcChain.xml><?xml version="1.0" encoding="utf-8"?>
<calcChain xmlns="http://schemas.openxmlformats.org/spreadsheetml/2006/main">
  <c r="G119" i="10" l="1"/>
  <c r="G69" i="10" l="1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I114" i="9"/>
  <c r="H114" i="9"/>
  <c r="L114" i="9"/>
  <c r="K114" i="9"/>
  <c r="L100" i="9"/>
  <c r="L101" i="9"/>
  <c r="L102" i="9"/>
  <c r="L103" i="9"/>
  <c r="L104" i="9"/>
  <c r="L105" i="9"/>
  <c r="L106" i="9"/>
  <c r="K100" i="9"/>
  <c r="K101" i="9"/>
  <c r="K102" i="9"/>
  <c r="K103" i="9"/>
  <c r="K104" i="9"/>
  <c r="K105" i="9"/>
  <c r="K106" i="9"/>
  <c r="I100" i="9"/>
  <c r="I101" i="9"/>
  <c r="I102" i="9"/>
  <c r="I103" i="9"/>
  <c r="I104" i="9"/>
  <c r="I105" i="9"/>
  <c r="I106" i="9"/>
  <c r="I107" i="9"/>
  <c r="H100" i="9"/>
  <c r="H101" i="9"/>
  <c r="H102" i="9"/>
  <c r="H103" i="9"/>
  <c r="H104" i="9"/>
  <c r="H105" i="9"/>
  <c r="H106" i="9"/>
  <c r="H107" i="9"/>
  <c r="L61" i="9"/>
  <c r="L62" i="9"/>
  <c r="L63" i="9"/>
  <c r="K61" i="9"/>
  <c r="K62" i="9"/>
  <c r="K63" i="9"/>
  <c r="K64" i="9"/>
  <c r="I61" i="9"/>
  <c r="I62" i="9"/>
  <c r="I63" i="9"/>
  <c r="H61" i="9"/>
  <c r="H62" i="9"/>
  <c r="H63" i="9"/>
  <c r="L40" i="9"/>
  <c r="K40" i="9"/>
  <c r="I40" i="9"/>
  <c r="H40" i="9"/>
  <c r="L26" i="9"/>
  <c r="K26" i="9"/>
  <c r="I26" i="9"/>
  <c r="H26" i="9"/>
  <c r="H27" i="9"/>
  <c r="G62" i="10"/>
  <c r="G63" i="10"/>
  <c r="G64" i="10"/>
  <c r="G65" i="10"/>
  <c r="G40" i="10"/>
  <c r="G26" i="10"/>
  <c r="G18" i="10" l="1"/>
  <c r="G17" i="10"/>
  <c r="G16" i="10"/>
  <c r="G61" i="10"/>
  <c r="G60" i="10"/>
  <c r="G59" i="10"/>
  <c r="G58" i="10"/>
  <c r="G4" i="10"/>
  <c r="G5" i="10"/>
  <c r="G6" i="10"/>
  <c r="G7" i="10"/>
  <c r="G8" i="10"/>
  <c r="G9" i="10"/>
  <c r="G10" i="10"/>
  <c r="G11" i="10"/>
  <c r="G12" i="10"/>
  <c r="G13" i="10"/>
  <c r="G14" i="10"/>
  <c r="G15" i="10"/>
  <c r="L64" i="9"/>
  <c r="I64" i="9"/>
  <c r="H64" i="9"/>
  <c r="L60" i="9"/>
  <c r="K60" i="9"/>
  <c r="I60" i="9"/>
  <c r="H60" i="9"/>
  <c r="L59" i="9"/>
  <c r="K59" i="9"/>
  <c r="I59" i="9"/>
  <c r="H59" i="9"/>
  <c r="L53" i="9"/>
  <c r="K53" i="9"/>
  <c r="I53" i="9"/>
  <c r="H53" i="9"/>
  <c r="L52" i="9"/>
  <c r="K52" i="9"/>
  <c r="I52" i="9"/>
  <c r="H52" i="9"/>
  <c r="L51" i="9"/>
  <c r="K51" i="9"/>
  <c r="I51" i="9"/>
  <c r="H51" i="9"/>
  <c r="L50" i="9"/>
  <c r="K50" i="9"/>
  <c r="I50" i="9"/>
  <c r="H50" i="9"/>
  <c r="L49" i="9"/>
  <c r="K49" i="9"/>
  <c r="I49" i="9"/>
  <c r="H49" i="9"/>
  <c r="L117" i="9"/>
  <c r="K117" i="9"/>
  <c r="I117" i="9"/>
  <c r="H117" i="9"/>
  <c r="G20" i="10" l="1"/>
  <c r="L20" i="9"/>
  <c r="K20" i="9"/>
  <c r="I20" i="9"/>
  <c r="H20" i="9"/>
  <c r="L8" i="9"/>
  <c r="K8" i="9"/>
  <c r="I8" i="9"/>
  <c r="H8" i="9"/>
  <c r="G19" i="10" l="1"/>
  <c r="G21" i="10"/>
  <c r="G22" i="10"/>
  <c r="G23" i="10"/>
  <c r="G24" i="10"/>
  <c r="G25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66" i="10"/>
  <c r="G67" i="10"/>
  <c r="G68" i="10"/>
  <c r="L5" i="9" l="1"/>
  <c r="L6" i="9"/>
  <c r="L7" i="9"/>
  <c r="L9" i="9"/>
  <c r="L10" i="9"/>
  <c r="L11" i="9"/>
  <c r="L12" i="9"/>
  <c r="L13" i="9"/>
  <c r="L14" i="9"/>
  <c r="L15" i="9"/>
  <c r="L16" i="9"/>
  <c r="L17" i="9"/>
  <c r="L18" i="9"/>
  <c r="L19" i="9"/>
  <c r="L21" i="9"/>
  <c r="L22" i="9"/>
  <c r="L23" i="9"/>
  <c r="L24" i="9"/>
  <c r="L25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1" i="9"/>
  <c r="L42" i="9"/>
  <c r="L43" i="9"/>
  <c r="L44" i="9"/>
  <c r="L45" i="9"/>
  <c r="L46" i="9"/>
  <c r="L47" i="9"/>
  <c r="L48" i="9"/>
  <c r="L54" i="9"/>
  <c r="L55" i="9"/>
  <c r="L56" i="9"/>
  <c r="L57" i="9"/>
  <c r="L58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7" i="9"/>
  <c r="L108" i="9"/>
  <c r="L109" i="9"/>
  <c r="L110" i="9"/>
  <c r="L111" i="9"/>
  <c r="L112" i="9"/>
  <c r="L113" i="9"/>
  <c r="L115" i="9"/>
  <c r="L116" i="9"/>
  <c r="L118" i="9"/>
  <c r="L119" i="9"/>
  <c r="L4" i="9"/>
  <c r="K5" i="9"/>
  <c r="K6" i="9"/>
  <c r="K7" i="9"/>
  <c r="K9" i="9"/>
  <c r="K10" i="9"/>
  <c r="K11" i="9"/>
  <c r="K12" i="9"/>
  <c r="K13" i="9"/>
  <c r="K14" i="9"/>
  <c r="K15" i="9"/>
  <c r="K16" i="9"/>
  <c r="K17" i="9"/>
  <c r="K18" i="9"/>
  <c r="K19" i="9"/>
  <c r="K21" i="9"/>
  <c r="K22" i="9"/>
  <c r="K23" i="9"/>
  <c r="K24" i="9"/>
  <c r="K25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1" i="9"/>
  <c r="K42" i="9"/>
  <c r="K43" i="9"/>
  <c r="K44" i="9"/>
  <c r="K45" i="9"/>
  <c r="K46" i="9"/>
  <c r="K47" i="9"/>
  <c r="K48" i="9"/>
  <c r="K54" i="9"/>
  <c r="K55" i="9"/>
  <c r="K56" i="9"/>
  <c r="K57" i="9"/>
  <c r="K58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7" i="9"/>
  <c r="K108" i="9"/>
  <c r="K109" i="9"/>
  <c r="K110" i="9"/>
  <c r="K111" i="9"/>
  <c r="K112" i="9"/>
  <c r="K113" i="9"/>
  <c r="K115" i="9"/>
  <c r="K116" i="9"/>
  <c r="K118" i="9"/>
  <c r="K119" i="9"/>
  <c r="K4" i="9"/>
  <c r="I5" i="9"/>
  <c r="I6" i="9"/>
  <c r="I7" i="9"/>
  <c r="I9" i="9"/>
  <c r="I10" i="9"/>
  <c r="I11" i="9"/>
  <c r="I12" i="9"/>
  <c r="I13" i="9"/>
  <c r="I14" i="9"/>
  <c r="I15" i="9"/>
  <c r="I16" i="9"/>
  <c r="I17" i="9"/>
  <c r="I18" i="9"/>
  <c r="I19" i="9"/>
  <c r="I21" i="9"/>
  <c r="I22" i="9"/>
  <c r="I23" i="9"/>
  <c r="I24" i="9"/>
  <c r="I25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1" i="9"/>
  <c r="I42" i="9"/>
  <c r="I43" i="9"/>
  <c r="I44" i="9"/>
  <c r="I45" i="9"/>
  <c r="I46" i="9"/>
  <c r="I47" i="9"/>
  <c r="I48" i="9"/>
  <c r="I54" i="9"/>
  <c r="I55" i="9"/>
  <c r="I56" i="9"/>
  <c r="I57" i="9"/>
  <c r="I58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8" i="9"/>
  <c r="I109" i="9"/>
  <c r="I110" i="9"/>
  <c r="I111" i="9"/>
  <c r="I112" i="9"/>
  <c r="I113" i="9"/>
  <c r="I115" i="9"/>
  <c r="I116" i="9"/>
  <c r="I118" i="9"/>
  <c r="I119" i="9"/>
  <c r="I4" i="9"/>
  <c r="H5" i="9"/>
  <c r="H6" i="9"/>
  <c r="H7" i="9"/>
  <c r="H9" i="9"/>
  <c r="H10" i="9"/>
  <c r="H11" i="9"/>
  <c r="H12" i="9"/>
  <c r="H13" i="9"/>
  <c r="H14" i="9"/>
  <c r="H15" i="9"/>
  <c r="H16" i="9"/>
  <c r="H17" i="9"/>
  <c r="H18" i="9"/>
  <c r="H19" i="9"/>
  <c r="H21" i="9"/>
  <c r="H22" i="9"/>
  <c r="H23" i="9"/>
  <c r="H24" i="9"/>
  <c r="H25" i="9"/>
  <c r="H28" i="9"/>
  <c r="H29" i="9"/>
  <c r="H30" i="9"/>
  <c r="H31" i="9"/>
  <c r="H32" i="9"/>
  <c r="H33" i="9"/>
  <c r="H34" i="9"/>
  <c r="H35" i="9"/>
  <c r="H36" i="9"/>
  <c r="H37" i="9"/>
  <c r="H38" i="9"/>
  <c r="H39" i="9"/>
  <c r="H41" i="9"/>
  <c r="H42" i="9"/>
  <c r="H43" i="9"/>
  <c r="H44" i="9"/>
  <c r="H45" i="9"/>
  <c r="H46" i="9"/>
  <c r="H47" i="9"/>
  <c r="H48" i="9"/>
  <c r="H54" i="9"/>
  <c r="H55" i="9"/>
  <c r="H56" i="9"/>
  <c r="H57" i="9"/>
  <c r="H58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8" i="9"/>
  <c r="H109" i="9"/>
  <c r="H110" i="9"/>
  <c r="H111" i="9"/>
  <c r="H112" i="9"/>
  <c r="H113" i="9"/>
  <c r="H115" i="9"/>
  <c r="H116" i="9"/>
  <c r="H118" i="9"/>
  <c r="H119" i="9"/>
  <c r="H4" i="9"/>
</calcChain>
</file>

<file path=xl/sharedStrings.xml><?xml version="1.0" encoding="utf-8"?>
<sst xmlns="http://schemas.openxmlformats.org/spreadsheetml/2006/main" count="478" uniqueCount="189">
  <si>
    <t>REF</t>
  </si>
  <si>
    <t>IPI</t>
  </si>
  <si>
    <t>1002/12</t>
  </si>
  <si>
    <t>1002/52</t>
  </si>
  <si>
    <t>1006/11</t>
  </si>
  <si>
    <t>1006/41</t>
  </si>
  <si>
    <t>1033/72</t>
  </si>
  <si>
    <t>UTILIDADES DOMÉSTICAS</t>
  </si>
  <si>
    <t>PET SHOP</t>
  </si>
  <si>
    <t>FEMININA</t>
  </si>
  <si>
    <t>FERRAMENTA E PESCA</t>
  </si>
  <si>
    <t>SOS</t>
  </si>
  <si>
    <t>TABELA</t>
  </si>
  <si>
    <t>PE</t>
  </si>
  <si>
    <t xml:space="preserve">DESCRIÇÃO DOS PRODUTOS </t>
  </si>
  <si>
    <t>Cabide de Roupa Prático Infantil 1 unid - Cor</t>
  </si>
  <si>
    <t>Cabide de Roupa Prático Infantil cart c/5unid - Cor</t>
  </si>
  <si>
    <t>Cabide de Roupa Adulto 1 unidade - Preto</t>
  </si>
  <si>
    <t>Cabide de Roupa Adulto cart. c/4 unidades - Preto</t>
  </si>
  <si>
    <t>Pá para lixo - Cor</t>
  </si>
  <si>
    <t>Tabua Grande para Carne - Branca</t>
  </si>
  <si>
    <t>Tabua Pequena para Carne - Branca</t>
  </si>
  <si>
    <t>Kit Tábua (1011+1013) - Branca</t>
  </si>
  <si>
    <t>Porta Miudezas c/3 estojos</t>
  </si>
  <si>
    <t>Porta Miudezas c/4 estojos</t>
  </si>
  <si>
    <t>Porta Miudezas c/5 estojos</t>
  </si>
  <si>
    <t>Prendedor de Roupa Pct c/72 unidades - Cor</t>
  </si>
  <si>
    <t>Tampa para micro</t>
  </si>
  <si>
    <t>Kit Gato (bandeja+pá higiênica+comedouro)</t>
  </si>
  <si>
    <t xml:space="preserve">Porta Ração c/3 Estojos </t>
  </si>
  <si>
    <t xml:space="preserve">Comedouro Translucido Filhote - 0,17lts </t>
  </si>
  <si>
    <t xml:space="preserve">Comedouro Translucido Pequeno - 0,45lts </t>
  </si>
  <si>
    <t xml:space="preserve">Comedouro Slim Filhote - 0,15lts </t>
  </si>
  <si>
    <t xml:space="preserve">Comedouro Slim Pequeno - 0,50lts </t>
  </si>
  <si>
    <t xml:space="preserve">Comedouro Slim Médio - 1lts </t>
  </si>
  <si>
    <t xml:space="preserve">Comedouro Carinha de Gato - 0,14lts </t>
  </si>
  <si>
    <t xml:space="preserve">Caixa Transportadora - Grade Plástica </t>
  </si>
  <si>
    <t xml:space="preserve">Mini Bag Fashion c/bandeja - Cor </t>
  </si>
  <si>
    <t xml:space="preserve">Lady Case - Cor </t>
  </si>
  <si>
    <t xml:space="preserve">Mini Bag Fashion - s/bandeja - Cor </t>
  </si>
  <si>
    <t xml:space="preserve">Fashion Bag 2 Bandejas - Cor </t>
  </si>
  <si>
    <t xml:space="preserve">Fashion Bag 3 Bandejas - Cor </t>
  </si>
  <si>
    <t xml:space="preserve">Mini Maleta - Cor </t>
  </si>
  <si>
    <t xml:space="preserve">Maleta Mini Standart s/bandeja - Preta </t>
  </si>
  <si>
    <t xml:space="preserve">Maleta Mini Toolcase (Parafusadeira) - Preta </t>
  </si>
  <si>
    <t xml:space="preserve">Maleta Média Toolcase (Furadeira) - Preta </t>
  </si>
  <si>
    <t xml:space="preserve">Estojo Mini-Box c/bandeja - Preto </t>
  </si>
  <si>
    <t xml:space="preserve">Maleta Prática Grande - Fundo Preto e Tampa Transp </t>
  </si>
  <si>
    <t xml:space="preserve">Organiz. Multibox - Fundo Preto eTampa Transp </t>
  </si>
  <si>
    <t xml:space="preserve">Organiz. Doublebox Estrut. Preta e Tampa Transparente </t>
  </si>
  <si>
    <t xml:space="preserve">Mini Estojo p/ Ferramentas - Preto </t>
  </si>
  <si>
    <t xml:space="preserve">Porta Treco c/5 estojos - Estrutura Transp Tampa Preta </t>
  </si>
  <si>
    <t xml:space="preserve">Maleta Master 20" c/bandeja removível - Preta </t>
  </si>
  <si>
    <t xml:space="preserve">Utility Box - Preta </t>
  </si>
  <si>
    <t>Maleta Master Better 20" - Preta</t>
  </si>
  <si>
    <t xml:space="preserve">Maleta Master 16" s/bandeja - Preta </t>
  </si>
  <si>
    <t xml:space="preserve">Maleta Master 16" c/band removível - Preta </t>
  </si>
  <si>
    <t xml:space="preserve">Maleta Max Utility Box - Preta </t>
  </si>
  <si>
    <t xml:space="preserve">Maleta Premium 2 Bandejas - Preta </t>
  </si>
  <si>
    <t>Maleta Premium 3 Bandejas - Preta</t>
  </si>
  <si>
    <t xml:space="preserve">Maleta Premium 2 Bandejas - Tampa Cor </t>
  </si>
  <si>
    <t>Maleta Premium 3 Bandejas - Tampa Cor</t>
  </si>
  <si>
    <t xml:space="preserve">Mini Maleta - Preta </t>
  </si>
  <si>
    <t xml:space="preserve">Maleta Premiun s/ Bandeja - Preta </t>
  </si>
  <si>
    <t xml:space="preserve">Maleta Premiun s/ Bandeja - Tampa Cor </t>
  </si>
  <si>
    <t xml:space="preserve">Maleta Premiun c/ 1 Bandeja Art - Tampa Cor </t>
  </si>
  <si>
    <t xml:space="preserve">Maleta Premiun c/ Bandeja Removível - Preta </t>
  </si>
  <si>
    <t xml:space="preserve">Maleta Premium Toolcase sem estojo - Preta </t>
  </si>
  <si>
    <t xml:space="preserve">Maleta Premium Toolcase com estojo - Preta </t>
  </si>
  <si>
    <r>
      <t xml:space="preserve">Balde Pedreiro Reforcado - 12lts - Preto </t>
    </r>
    <r>
      <rPr>
        <b/>
        <sz val="8"/>
        <color indexed="10"/>
        <rFont val="Arial"/>
        <family val="2"/>
      </rPr>
      <t/>
    </r>
  </si>
  <si>
    <t xml:space="preserve">Maleta Special Box - Serra Marmore - Preta </t>
  </si>
  <si>
    <t xml:space="preserve">Estojo Mini-Box c/bandeja - Preto e Tampa Cor </t>
  </si>
  <si>
    <t xml:space="preserve">Organizador Multibox Pescaria - Transparente </t>
  </si>
  <si>
    <t xml:space="preserve">Estojo Isca Box - Cor </t>
  </si>
  <si>
    <t>Maleta Compacta S.O.S c/1 bandeja articulada - Branca</t>
  </si>
  <si>
    <t xml:space="preserve">Maleta Pronto-Socorro c/2 bandejas articuladas - Branca </t>
  </si>
  <si>
    <t>Maleta Pronto-Socorro c/3 bandejas articuladas - Branca</t>
  </si>
  <si>
    <t>Estojo Multiuso S.O.S - Transparente</t>
  </si>
  <si>
    <t xml:space="preserve">Maleta Mini SOS - Branca </t>
  </si>
  <si>
    <t>Quant Embal</t>
  </si>
  <si>
    <t>LINHA</t>
  </si>
  <si>
    <t xml:space="preserve">Balde Para Concreto - 12lts - Preta </t>
  </si>
  <si>
    <t xml:space="preserve">TABELA GERAL </t>
  </si>
  <si>
    <t>TABELA FOB</t>
  </si>
  <si>
    <t>Cap</t>
  </si>
  <si>
    <t>Int</t>
  </si>
  <si>
    <t>Bolinha com Guizo</t>
  </si>
  <si>
    <t>Comedouro Postura Ideal - 0,200lts</t>
  </si>
  <si>
    <t>Maleta Serra Marmore - Preta - Alca 16"</t>
  </si>
  <si>
    <t>Balde para Concreto/Multiuso - 12lts - Alça Cor</t>
  </si>
  <si>
    <t>Caixa para Massa - 18lts</t>
  </si>
  <si>
    <t>Mini Maleta SOS - Branca</t>
  </si>
  <si>
    <t xml:space="preserve">                                       POLÍTICA COMERCIAL</t>
  </si>
  <si>
    <t>REGRA GERAL</t>
  </si>
  <si>
    <t>Regime Tributário: Lucro Presumido</t>
  </si>
  <si>
    <t>IPI deverá ser acrescido ao preço da tabela, de acordo com o produto (PE 50 dividir por 2) (PE 25 dividir por 4)</t>
  </si>
  <si>
    <t>Frete FOB - Cliente deverá indicar a transportadora (Nome  e Telefone)</t>
  </si>
  <si>
    <t>Frete FOB PE 25 - Pedido Mínimo R$ 3.000,00</t>
  </si>
  <si>
    <t>Prazo de Fabricação: até 30dd</t>
  </si>
  <si>
    <t>PEDIDO MÍNIMO X PRAZO X DESCONTO</t>
  </si>
  <si>
    <t>Duplicata Mínima R$ 800,00</t>
  </si>
  <si>
    <t xml:space="preserve">Pedido Mínimo R$ 1.600,00 (em produtos) - Desconto 0% - Prazo Sugestão 28dd (Prazo Médio 28dd)  </t>
  </si>
  <si>
    <t>Pedidos acima R$ 3.000,00 em produtos - Conceder até 7% desconto - PRAZO Sugestão 28/42dd (prazo médio 35dd)</t>
  </si>
  <si>
    <t>Pedidos acima R$ 6.000,00 em produtos - Conceder até 15% desconto - PRAZO Sugestão 28/35/42/56dd (prazo médio 40dd)</t>
  </si>
  <si>
    <t xml:space="preserve">Pedidos acima R$ 10.000,00 em produtos - conceder até 20% desconto - PRAZO Sugestão: 28/42/56/70/84/98 (prazo médio 63dd) </t>
  </si>
  <si>
    <t>Tabela calculada com Prazo Médio 60dd - Financeiro Mensal 3%  para acrescimo ou desconto mensal</t>
  </si>
  <si>
    <t>TABELA COMISSAO X DESCONTO</t>
  </si>
  <si>
    <t>Comissão de 7% - Desconto 0%</t>
  </si>
  <si>
    <t xml:space="preserve">Comissão de 6% - Desconto de até 4% - Pedido Mínimo R$ 3.000,00 </t>
  </si>
  <si>
    <t>Comissão de 5%- Desconto de até 7% - Pedido Mínimo R$  6.000,00</t>
  </si>
  <si>
    <t xml:space="preserve">Comissão de 4% - Desconto de até 10% - Pedido Mínimo R$ 6.000,00 </t>
  </si>
  <si>
    <t>PRODUCAO PARA EXPORTACAO</t>
  </si>
  <si>
    <t xml:space="preserve">IPI - Não Destacar </t>
  </si>
  <si>
    <t>INFORMAÇÕES OBRIGATÓRIAS NO PEDIDO</t>
  </si>
  <si>
    <t>Dados do cliente, telefone, e-mail para envio da nfe</t>
  </si>
  <si>
    <t>Tabela utilizada - GERAL ou PE</t>
  </si>
  <si>
    <t>Frete: CIF ou FOB (no caso de FOB obrigatório Nome da Transp e Telefone)</t>
  </si>
  <si>
    <t xml:space="preserve">Descontos Concedidos (% e Tipo) </t>
  </si>
  <si>
    <t>Prazo de Pagamento</t>
  </si>
  <si>
    <t>Observações Gerais (cor de fecho e alça / cor de produto/ sem etiqueta / somente cod barras / ...)</t>
  </si>
  <si>
    <t xml:space="preserve">Estado RS - Cliente com direto Red ICMS para 12% - Tabela Geral Conceder 5% Desc / PE 50 = 2,5% Desc / PE 25 = 1,25% Desc </t>
  </si>
  <si>
    <t>MODELO 12%</t>
  </si>
  <si>
    <t>Isento de Impostos: ICMS, PIS e CONFIS - Conceder desconto de 16,65%</t>
  </si>
  <si>
    <t xml:space="preserve">ICMS já incluso conforme percentual do RS (12%) </t>
  </si>
  <si>
    <t>Frete CIF - Estado Santa Catarina (ver relação de cidades atendidas como CAPITAL)</t>
  </si>
  <si>
    <t>MODELO 7%</t>
  </si>
  <si>
    <t xml:space="preserve">ICMS já incluso conforme percentual do RS (7%) </t>
  </si>
  <si>
    <t>IPI deverá ser acrescido ao preço da tabela, de acordo com o produto (PE 50 dividir por 2)</t>
  </si>
  <si>
    <t>Frete FOB - Cliente deverá indicar a transportadora (Nome  e Telefone) - RESPONSABILIDADE TOTAL DO CLIENTE (Atraso, Quebra...)</t>
  </si>
  <si>
    <t>Redesp FOB SP</t>
  </si>
  <si>
    <t>Frete CIF - São Paulo Capital + REDESP FOB (indicar a transportadora de sua preferencia</t>
  </si>
  <si>
    <t xml:space="preserve">VENDA PRA CLIENTE COM CADASTRO DE SUFRAMA (OBRIGATORIO INFORMAR NO PEDIDO O NR DE CADASTRO) </t>
  </si>
  <si>
    <t>Isento de Impostos: ICMS (Desc 7%), PIS (Desc 0,65%) e CONFIS (Desc 3%)</t>
  </si>
  <si>
    <t>1006/151</t>
  </si>
  <si>
    <t xml:space="preserve">Cabide de Roupa Adulto Amarr c/ 15 unidades - Petro </t>
  </si>
  <si>
    <t xml:space="preserve">Kit Black (bandeja+pá higiênica+comedouro) </t>
  </si>
  <si>
    <t>1033/48</t>
  </si>
  <si>
    <t>Prendedor de Roupa Pct c/48 unidades - Cor</t>
  </si>
  <si>
    <t>Kit 1 Comedouro Osso (2139) + 1 Comedouro Pequeno (2142)</t>
  </si>
  <si>
    <t>Kit 1 Comedouro Mini (2141) + 1 Comedouro Pequeno (2143)</t>
  </si>
  <si>
    <t>Kit 1 Pa Dosadora (2148) +2 Comed (2751) +1 Pa Higienica (2752)</t>
  </si>
  <si>
    <t>Kit 2 Mini Maletas (3954)</t>
  </si>
  <si>
    <t>Kit 1 Mini Maleta (3954) + 1 Mini Maleta S.O.S (8012)</t>
  </si>
  <si>
    <t>Kit 3 Estojos Mini Color (3905)</t>
  </si>
  <si>
    <t>KIT 1 Maleta Mini Standart (4001) + 2 Mini Estojos (4020)</t>
  </si>
  <si>
    <t>Kit 2 Mini Maletas S.O.S (8012)</t>
  </si>
  <si>
    <t>TABELA PREÇOS - 2025</t>
  </si>
  <si>
    <t>Kit 1 Comedouro Slim Filhote (2701) + 1 Com Slim Medio (2703)</t>
  </si>
  <si>
    <t>Kit 2 Com Carinha Gato (2751) + 1 Pa Hig Carinha Gato (2752)</t>
  </si>
  <si>
    <t>Kit 2 Comedouro Slim Mini (2701) + 2 Bolinha Guizo (2754)</t>
  </si>
  <si>
    <t xml:space="preserve">Toalete Pet </t>
  </si>
  <si>
    <t>Fashion Bag s/ Bandeja - Estojo na Tampa</t>
  </si>
  <si>
    <t>Fashion Bag c/ Bandeja Removivel - Estojo na Tampa</t>
  </si>
  <si>
    <t>Fashion Bag 1 Estojo Articulado - Estojo na Tampa</t>
  </si>
  <si>
    <t xml:space="preserve">Maleta Premiun c/ Bandeja Removivel - Tampa Cor </t>
  </si>
  <si>
    <t>Maleta Premium c/ Bandeja Removivel - Estojo na Tampa - Preta</t>
  </si>
  <si>
    <t>Maleta Premium c/ 1 Estojo Articulado - Estojo na Tampa - Preta</t>
  </si>
  <si>
    <t>Maleta Premium s/ Bandeja - Estojo na Tampa - Preta</t>
  </si>
  <si>
    <t xml:space="preserve">Maleta Master 16" c/ Band Removível - Estojo na Tampa - Preta </t>
  </si>
  <si>
    <t xml:space="preserve">Maleta Master 16" s/ Bandeja - Estojo na Tampa - Preta </t>
  </si>
  <si>
    <t xml:space="preserve">Maleta Premiun 1 Estojo Articulada - Preta </t>
  </si>
  <si>
    <t xml:space="preserve">Maleta Master 12" c/ Bandeja Removivel - Preta </t>
  </si>
  <si>
    <t>Cabide de Roupa Prático Infantil 1 unididade - Cor</t>
  </si>
  <si>
    <t>Cabide de Roupa Adulto cartelado c/4 unidades - Preto</t>
  </si>
  <si>
    <t>Cabide de Roupa Prático Infantil cinta c/ 5unid - Cor</t>
  </si>
  <si>
    <t xml:space="preserve">Cabide de Roupa Adulto Amarr c/ 15 unidades - Preto </t>
  </si>
  <si>
    <t xml:space="preserve">Comedouro osso 0,75 lts </t>
  </si>
  <si>
    <t>Comedouro Hamster 0,06 lts</t>
  </si>
  <si>
    <t xml:space="preserve">Comedouro Mini 0,40 lts </t>
  </si>
  <si>
    <t xml:space="preserve">Comedouro Pequeno 0,60 lts </t>
  </si>
  <si>
    <t xml:space="preserve">Comedouro Médio 1,10 lts </t>
  </si>
  <si>
    <t xml:space="preserve">Comedouro Grande 2,00 lts </t>
  </si>
  <si>
    <t xml:space="preserve">Comedouro para Caes Orelhas Longas 0,60 lts </t>
  </si>
  <si>
    <t xml:space="preserve">Comedouro de Gato 0,15 lts  </t>
  </si>
  <si>
    <t xml:space="preserve">Pá Dosadora </t>
  </si>
  <si>
    <t xml:space="preserve">Pá Higiênica </t>
  </si>
  <si>
    <t>Fresbee</t>
  </si>
  <si>
    <t xml:space="preserve">Bandeja para Granulado - Grande - 18lts </t>
  </si>
  <si>
    <t>Bandeja para Granulado</t>
  </si>
  <si>
    <t xml:space="preserve">Kit Carinha de Gato </t>
  </si>
  <si>
    <t>Pá Higienica Carinha de Gato</t>
  </si>
  <si>
    <t>Bandeja Carinha de Gato - 10lts</t>
  </si>
  <si>
    <t>₢</t>
  </si>
  <si>
    <t xml:space="preserve">NCM E IPI </t>
  </si>
  <si>
    <t>NCM</t>
  </si>
  <si>
    <t xml:space="preserve">Organizador Multibox Pequeno - Fundo Preto e Tampa Transp </t>
  </si>
  <si>
    <t xml:space="preserve">Organizador Multibox Pequeno - Transparente </t>
  </si>
  <si>
    <t>Organizador Multiuso S.O.S Pequeno - Transparente</t>
  </si>
  <si>
    <t>Organizador Multiuso Pequeno -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</si>
</sst>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0.0%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8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299">
    <xf numFmtId="0" fontId="0" fillId="0" borderId="0" xfId="0"/>
    <xf numFmtId="0" fontId="0" fillId="0" borderId="0" xfId="0"/>
    <xf numFmtId="0" fontId="0" fillId="3" borderId="10" xfId="0" applyFill="1" applyBorder="1"/>
    <xf numFmtId="0" fontId="0" fillId="3" borderId="6" xfId="0" applyFill="1" applyBorder="1"/>
    <xf numFmtId="0" fontId="0" fillId="3" borderId="23" xfId="0" applyFill="1" applyBorder="1"/>
    <xf numFmtId="0" fontId="0" fillId="3" borderId="24" xfId="0" applyFill="1" applyBorder="1"/>
    <xf numFmtId="0" fontId="14" fillId="5" borderId="10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left"/>
    </xf>
    <xf numFmtId="0" fontId="13" fillId="5" borderId="24" xfId="0" applyFont="1" applyFill="1" applyBorder="1" applyAlignment="1">
      <alignment horizontal="left"/>
    </xf>
    <xf numFmtId="0" fontId="3" fillId="5" borderId="23" xfId="0" applyFont="1" applyFill="1" applyBorder="1" applyAlignment="1">
      <alignment horizontal="center" vertical="center" textRotation="90"/>
    </xf>
    <xf numFmtId="0" fontId="1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left"/>
    </xf>
    <xf numFmtId="164" fontId="5" fillId="5" borderId="0" xfId="0" applyNumberFormat="1" applyFont="1" applyFill="1" applyBorder="1" applyAlignment="1">
      <alignment horizontal="center" vertical="center"/>
    </xf>
    <xf numFmtId="2" fontId="4" fillId="5" borderId="0" xfId="0" applyNumberFormat="1" applyFont="1" applyFill="1" applyBorder="1" applyAlignment="1">
      <alignment horizontal="right"/>
    </xf>
    <xf numFmtId="2" fontId="4" fillId="5" borderId="0" xfId="0" applyNumberFormat="1" applyFont="1" applyFill="1" applyBorder="1"/>
    <xf numFmtId="2" fontId="4" fillId="5" borderId="0" xfId="1" applyNumberFormat="1" applyFont="1" applyFill="1" applyBorder="1"/>
    <xf numFmtId="2" fontId="4" fillId="5" borderId="24" xfId="1" applyNumberFormat="1" applyFont="1" applyFill="1" applyBorder="1"/>
    <xf numFmtId="0" fontId="12" fillId="4" borderId="29" xfId="0" applyFont="1" applyFill="1" applyBorder="1" applyAlignment="1">
      <alignment vertical="center"/>
    </xf>
    <xf numFmtId="0" fontId="12" fillId="4" borderId="28" xfId="0" applyFont="1" applyFill="1" applyBorder="1" applyAlignment="1">
      <alignment vertical="center"/>
    </xf>
    <xf numFmtId="0" fontId="14" fillId="4" borderId="9" xfId="0" applyFont="1" applyFill="1" applyBorder="1" applyAlignment="1"/>
    <xf numFmtId="0" fontId="14" fillId="4" borderId="11" xfId="0" applyFont="1" applyFill="1" applyBorder="1" applyAlignment="1"/>
    <xf numFmtId="0" fontId="12" fillId="4" borderId="12" xfId="0" applyFont="1" applyFill="1" applyBorder="1" applyAlignment="1">
      <alignment horizontal="left"/>
    </xf>
    <xf numFmtId="0" fontId="12" fillId="4" borderId="6" xfId="0" applyFont="1" applyFill="1" applyBorder="1" applyAlignment="1">
      <alignment horizontal="left"/>
    </xf>
    <xf numFmtId="0" fontId="14" fillId="5" borderId="29" xfId="0" applyFont="1" applyFill="1" applyBorder="1" applyAlignment="1">
      <alignment horizontal="left"/>
    </xf>
    <xf numFmtId="0" fontId="14" fillId="5" borderId="28" xfId="0" applyFont="1" applyFill="1" applyBorder="1" applyAlignment="1">
      <alignment horizontal="left"/>
    </xf>
    <xf numFmtId="0" fontId="15" fillId="4" borderId="10" xfId="0" applyFont="1" applyFill="1" applyBorder="1" applyAlignment="1">
      <alignment horizontal="left"/>
    </xf>
    <xf numFmtId="0" fontId="15" fillId="4" borderId="12" xfId="0" applyFont="1" applyFill="1" applyBorder="1" applyAlignment="1">
      <alignment horizontal="left"/>
    </xf>
    <xf numFmtId="2" fontId="4" fillId="8" borderId="16" xfId="0" applyNumberFormat="1" applyFont="1" applyFill="1" applyBorder="1" applyAlignment="1">
      <alignment horizontal="right"/>
    </xf>
    <xf numFmtId="2" fontId="4" fillId="8" borderId="13" xfId="0" applyNumberFormat="1" applyFont="1" applyFill="1" applyBorder="1" applyAlignment="1">
      <alignment horizontal="right"/>
    </xf>
    <xf numFmtId="2" fontId="4" fillId="8" borderId="19" xfId="0" applyNumberFormat="1" applyFont="1" applyFill="1" applyBorder="1" applyAlignment="1">
      <alignment horizontal="right"/>
    </xf>
    <xf numFmtId="2" fontId="4" fillId="8" borderId="26" xfId="0" applyNumberFormat="1" applyFont="1" applyFill="1" applyBorder="1" applyAlignment="1">
      <alignment horizontal="right"/>
    </xf>
    <xf numFmtId="2" fontId="4" fillId="8" borderId="41" xfId="0" applyNumberFormat="1" applyFont="1" applyFill="1" applyBorder="1" applyAlignment="1">
      <alignment horizontal="right"/>
    </xf>
    <xf numFmtId="2" fontId="4" fillId="7" borderId="26" xfId="0" applyNumberFormat="1" applyFont="1" applyFill="1" applyBorder="1"/>
    <xf numFmtId="2" fontId="4" fillId="7" borderId="16" xfId="0" applyNumberFormat="1" applyFont="1" applyFill="1" applyBorder="1"/>
    <xf numFmtId="2" fontId="4" fillId="6" borderId="26" xfId="1" applyNumberFormat="1" applyFont="1" applyFill="1" applyBorder="1"/>
    <xf numFmtId="2" fontId="4" fillId="6" borderId="27" xfId="1" applyNumberFormat="1" applyFont="1" applyFill="1" applyBorder="1"/>
    <xf numFmtId="2" fontId="4" fillId="6" borderId="42" xfId="0" applyNumberFormat="1" applyFont="1" applyFill="1" applyBorder="1"/>
    <xf numFmtId="2" fontId="4" fillId="6" borderId="43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7" fillId="4" borderId="37" xfId="0" applyFont="1" applyFill="1" applyBorder="1" applyAlignment="1" applyProtection="1">
      <alignment horizontal="center"/>
    </xf>
    <xf numFmtId="2" fontId="4" fillId="6" borderId="16" xfId="1" applyNumberFormat="1" applyFont="1" applyFill="1" applyBorder="1"/>
    <xf numFmtId="2" fontId="4" fillId="6" borderId="17" xfId="1" applyNumberFormat="1" applyFont="1" applyFill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left"/>
    </xf>
    <xf numFmtId="0" fontId="1" fillId="0" borderId="35" xfId="0" applyFont="1" applyFill="1" applyBorder="1" applyAlignment="1">
      <alignment horizontal="left"/>
    </xf>
    <xf numFmtId="0" fontId="7" fillId="4" borderId="38" xfId="0" applyFont="1" applyFill="1" applyBorder="1" applyAlignment="1" applyProtection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2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7" fillId="4" borderId="2" xfId="0" applyNumberFormat="1" applyFont="1" applyFill="1" applyBorder="1" applyAlignment="1" applyProtection="1">
      <alignment horizont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0" fontId="1" fillId="2" borderId="4" xfId="0" applyNumberFormat="1" applyFont="1" applyFill="1" applyBorder="1" applyAlignment="1">
      <alignment horizontal="center" vertical="center"/>
    </xf>
    <xf numFmtId="10" fontId="1" fillId="2" borderId="5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/>
    <xf numFmtId="2" fontId="4" fillId="6" borderId="44" xfId="0" applyNumberFormat="1" applyFont="1" applyFill="1" applyBorder="1"/>
    <xf numFmtId="0" fontId="7" fillId="4" borderId="34" xfId="0" applyFont="1" applyFill="1" applyBorder="1" applyAlignment="1">
      <alignment horizontal="center"/>
    </xf>
    <xf numFmtId="0" fontId="7" fillId="4" borderId="39" xfId="0" applyFont="1" applyFill="1" applyBorder="1" applyAlignment="1" applyProtection="1">
      <alignment horizontal="center"/>
    </xf>
    <xf numFmtId="0" fontId="3" fillId="8" borderId="30" xfId="0" applyFont="1" applyFill="1" applyBorder="1" applyAlignment="1">
      <alignment horizontal="center" vertical="center" wrapText="1"/>
    </xf>
    <xf numFmtId="0" fontId="3" fillId="8" borderId="45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11" fillId="6" borderId="30" xfId="0" applyFont="1" applyFill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2" fontId="4" fillId="6" borderId="33" xfId="1" applyNumberFormat="1" applyFont="1" applyFill="1" applyBorder="1"/>
    <xf numFmtId="2" fontId="4" fillId="6" borderId="41" xfId="1" applyNumberFormat="1" applyFont="1" applyFill="1" applyBorder="1"/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2" fillId="4" borderId="34" xfId="0" applyFont="1" applyFill="1" applyBorder="1" applyAlignment="1">
      <alignment horizontal="left"/>
    </xf>
    <xf numFmtId="0" fontId="12" fillId="4" borderId="29" xfId="0" applyFont="1" applyFill="1" applyBorder="1" applyAlignment="1">
      <alignment horizontal="left"/>
    </xf>
    <xf numFmtId="0" fontId="12" fillId="4" borderId="28" xfId="0" applyFont="1" applyFill="1" applyBorder="1" applyAlignment="1">
      <alignment horizontal="left"/>
    </xf>
    <xf numFmtId="2" fontId="4" fillId="7" borderId="41" xfId="0" applyNumberFormat="1" applyFont="1" applyFill="1" applyBorder="1"/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0" fontId="12" fillId="4" borderId="34" xfId="0" applyFont="1" applyFill="1" applyBorder="1" applyAlignment="1">
      <alignment vertical="center"/>
    </xf>
    <xf numFmtId="0" fontId="14" fillId="4" borderId="24" xfId="0" applyFont="1" applyFill="1" applyBorder="1" applyAlignment="1"/>
    <xf numFmtId="0" fontId="3" fillId="8" borderId="34" xfId="0" applyFont="1" applyFill="1" applyBorder="1" applyAlignment="1">
      <alignment horizontal="center" vertical="center" wrapText="1"/>
    </xf>
    <xf numFmtId="2" fontId="4" fillId="8" borderId="48" xfId="0" applyNumberFormat="1" applyFont="1" applyFill="1" applyBorder="1" applyAlignment="1">
      <alignment horizontal="right"/>
    </xf>
    <xf numFmtId="2" fontId="4" fillId="8" borderId="49" xfId="0" applyNumberFormat="1" applyFont="1" applyFill="1" applyBorder="1" applyAlignment="1">
      <alignment horizontal="right"/>
    </xf>
    <xf numFmtId="2" fontId="4" fillId="8" borderId="50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6" xfId="0" applyFont="1" applyFill="1" applyBorder="1" applyAlignment="1">
      <alignment horizontal="center" vertical="center" wrapText="1"/>
    </xf>
    <xf numFmtId="2" fontId="4" fillId="7" borderId="14" xfId="0" applyNumberFormat="1" applyFont="1" applyFill="1" applyBorder="1"/>
    <xf numFmtId="2" fontId="4" fillId="7" borderId="51" xfId="0" applyNumberFormat="1" applyFont="1" applyFill="1" applyBorder="1"/>
    <xf numFmtId="0" fontId="13" fillId="5" borderId="34" xfId="0" applyFont="1" applyFill="1" applyBorder="1" applyAlignment="1"/>
    <xf numFmtId="0" fontId="13" fillId="5" borderId="29" xfId="0" applyFont="1" applyFill="1" applyBorder="1" applyAlignment="1"/>
    <xf numFmtId="0" fontId="14" fillId="5" borderId="0" xfId="0" applyFont="1" applyFill="1" applyBorder="1" applyAlignment="1"/>
    <xf numFmtId="0" fontId="14" fillId="5" borderId="23" xfId="0" applyFont="1" applyFill="1" applyBorder="1" applyAlignment="1"/>
    <xf numFmtId="0" fontId="14" fillId="5" borderId="8" xfId="0" applyFont="1" applyFill="1" applyBorder="1" applyAlignment="1"/>
    <xf numFmtId="0" fontId="14" fillId="5" borderId="9" xfId="0" applyFont="1" applyFill="1" applyBorder="1" applyAlignment="1"/>
    <xf numFmtId="0" fontId="13" fillId="5" borderId="28" xfId="0" applyFont="1" applyFill="1" applyBorder="1" applyAlignment="1"/>
    <xf numFmtId="0" fontId="14" fillId="5" borderId="12" xfId="0" applyFont="1" applyFill="1" applyBorder="1" applyAlignment="1"/>
    <xf numFmtId="0" fontId="14" fillId="5" borderId="6" xfId="0" applyFont="1" applyFill="1" applyBorder="1" applyAlignment="1"/>
    <xf numFmtId="0" fontId="14" fillId="5" borderId="24" xfId="0" applyFont="1" applyFill="1" applyBorder="1" applyAlignment="1"/>
    <xf numFmtId="0" fontId="14" fillId="5" borderId="11" xfId="0" applyFont="1" applyFill="1" applyBorder="1" applyAlignment="1"/>
    <xf numFmtId="0" fontId="14" fillId="5" borderId="10" xfId="0" applyFont="1" applyFill="1" applyBorder="1" applyAlignment="1"/>
    <xf numFmtId="0" fontId="0" fillId="5" borderId="12" xfId="0" applyFill="1" applyBorder="1"/>
    <xf numFmtId="0" fontId="0" fillId="5" borderId="6" xfId="0" applyFill="1" applyBorder="1"/>
    <xf numFmtId="0" fontId="0" fillId="5" borderId="0" xfId="0" applyFill="1" applyBorder="1"/>
    <xf numFmtId="0" fontId="0" fillId="5" borderId="24" xfId="0" applyFill="1" applyBorder="1"/>
    <xf numFmtId="0" fontId="0" fillId="5" borderId="9" xfId="0" applyFill="1" applyBorder="1"/>
    <xf numFmtId="0" fontId="0" fillId="5" borderId="11" xfId="0" applyFill="1" applyBorder="1"/>
    <xf numFmtId="0" fontId="1" fillId="0" borderId="51" xfId="0" applyFont="1" applyBorder="1" applyAlignment="1" applyProtection="1">
      <alignment horizontal="center"/>
      <protection locked="0"/>
    </xf>
    <xf numFmtId="0" fontId="1" fillId="0" borderId="52" xfId="0" applyFont="1" applyBorder="1" applyProtection="1">
      <protection locked="0"/>
    </xf>
    <xf numFmtId="0" fontId="1" fillId="0" borderId="53" xfId="0" applyFont="1" applyBorder="1" applyAlignment="1" applyProtection="1">
      <alignment horizontal="center"/>
      <protection locked="0"/>
    </xf>
    <xf numFmtId="164" fontId="1" fillId="2" borderId="51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4" fontId="1" fillId="2" borderId="54" xfId="0" applyNumberFormat="1" applyFont="1" applyFill="1" applyBorder="1" applyAlignment="1">
      <alignment horizontal="center" vertical="center"/>
    </xf>
    <xf numFmtId="2" fontId="4" fillId="7" borderId="13" xfId="0" applyNumberFormat="1" applyFont="1" applyFill="1" applyBorder="1"/>
    <xf numFmtId="2" fontId="4" fillId="6" borderId="13" xfId="0" applyNumberFormat="1" applyFont="1" applyFill="1" applyBorder="1"/>
    <xf numFmtId="2" fontId="4" fillId="6" borderId="13" xfId="1" applyNumberFormat="1" applyFont="1" applyFill="1" applyBorder="1"/>
    <xf numFmtId="2" fontId="4" fillId="6" borderId="16" xfId="0" applyNumberFormat="1" applyFont="1" applyFill="1" applyBorder="1"/>
    <xf numFmtId="2" fontId="4" fillId="6" borderId="56" xfId="1" applyNumberFormat="1" applyFont="1" applyFill="1" applyBorder="1"/>
    <xf numFmtId="2" fontId="4" fillId="7" borderId="15" xfId="0" applyNumberFormat="1" applyFont="1" applyFill="1" applyBorder="1"/>
    <xf numFmtId="2" fontId="4" fillId="7" borderId="52" xfId="0" applyNumberFormat="1" applyFont="1" applyFill="1" applyBorder="1"/>
    <xf numFmtId="2" fontId="4" fillId="8" borderId="14" xfId="0" applyNumberFormat="1" applyFont="1" applyFill="1" applyBorder="1" applyAlignment="1">
      <alignment horizontal="right"/>
    </xf>
    <xf numFmtId="2" fontId="4" fillId="8" borderId="51" xfId="0" applyNumberFormat="1" applyFont="1" applyFill="1" applyBorder="1" applyAlignment="1">
      <alignment horizontal="right"/>
    </xf>
    <xf numFmtId="2" fontId="4" fillId="8" borderId="4" xfId="0" applyNumberFormat="1" applyFont="1" applyFill="1" applyBorder="1" applyAlignment="1">
      <alignment horizontal="right"/>
    </xf>
    <xf numFmtId="0" fontId="1" fillId="0" borderId="54" xfId="0" applyFont="1" applyFill="1" applyBorder="1" applyAlignment="1">
      <alignment horizontal="center"/>
    </xf>
    <xf numFmtId="0" fontId="1" fillId="0" borderId="36" xfId="0" applyFont="1" applyBorder="1" applyAlignment="1">
      <alignment horizontal="left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left"/>
    </xf>
    <xf numFmtId="0" fontId="1" fillId="0" borderId="53" xfId="0" applyFont="1" applyBorder="1" applyAlignment="1">
      <alignment horizontal="center"/>
    </xf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0" fontId="13" fillId="5" borderId="34" xfId="0" applyFont="1" applyFill="1" applyBorder="1" applyAlignment="1">
      <alignment horizontal="left"/>
    </xf>
    <xf numFmtId="0" fontId="13" fillId="5" borderId="29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0" fontId="14" fillId="5" borderId="2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5" borderId="9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0" fontId="14" fillId="5" borderId="10" xfId="0" applyFont="1" applyFill="1" applyBorder="1" applyAlignment="1">
      <alignment horizontal="left"/>
    </xf>
    <xf numFmtId="0" fontId="14" fillId="5" borderId="12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164" fontId="1" fillId="2" borderId="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2" fontId="4" fillId="8" borderId="21" xfId="0" applyNumberFormat="1" applyFont="1" applyFill="1" applyBorder="1" applyAlignment="1">
      <alignment horizontal="right"/>
    </xf>
    <xf numFmtId="2" fontId="4" fillId="8" borderId="35" xfId="0" applyNumberFormat="1" applyFont="1" applyFill="1" applyBorder="1" applyAlignment="1">
      <alignment horizontal="right"/>
    </xf>
    <xf numFmtId="2" fontId="4" fillId="8" borderId="0" xfId="0" applyNumberFormat="1" applyFont="1" applyFill="1" applyBorder="1" applyAlignment="1">
      <alignment horizontal="right"/>
    </xf>
    <xf numFmtId="2" fontId="4" fillId="8" borderId="36" xfId="0" applyNumberFormat="1" applyFont="1" applyFill="1" applyBorder="1" applyAlignment="1">
      <alignment horizontal="right"/>
    </xf>
    <xf numFmtId="164" fontId="1" fillId="0" borderId="4" xfId="0" applyNumberFormat="1" applyFont="1" applyFill="1" applyBorder="1" applyAlignment="1">
      <alignment horizontal="center" vertical="center"/>
    </xf>
    <xf numFmtId="2" fontId="4" fillId="7" borderId="4" xfId="0" applyNumberFormat="1" applyFont="1" applyFill="1" applyBorder="1"/>
    <xf numFmtId="0" fontId="1" fillId="0" borderId="23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5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2" fontId="4" fillId="8" borderId="57" xfId="0" applyNumberFormat="1" applyFont="1" applyFill="1" applyBorder="1" applyAlignment="1">
      <alignment horizontal="right"/>
    </xf>
    <xf numFmtId="2" fontId="4" fillId="8" borderId="17" xfId="0" applyNumberFormat="1" applyFont="1" applyFill="1" applyBorder="1" applyAlignment="1">
      <alignment horizontal="right"/>
    </xf>
    <xf numFmtId="2" fontId="4" fillId="8" borderId="56" xfId="0" applyNumberFormat="1" applyFont="1" applyFill="1" applyBorder="1" applyAlignment="1">
      <alignment horizontal="right"/>
    </xf>
    <xf numFmtId="2" fontId="4" fillId="8" borderId="58" xfId="0" applyNumberFormat="1" applyFont="1" applyFill="1" applyBorder="1" applyAlignment="1">
      <alignment horizontal="right"/>
    </xf>
    <xf numFmtId="0" fontId="14" fillId="4" borderId="23" xfId="0" applyFont="1" applyFill="1" applyBorder="1" applyAlignment="1">
      <alignment horizontal="left"/>
    </xf>
    <xf numFmtId="0" fontId="14" fillId="4" borderId="0" xfId="0" applyFont="1" applyFill="1" applyBorder="1" applyAlignment="1">
      <alignment horizontal="left"/>
    </xf>
    <xf numFmtId="0" fontId="14" fillId="4" borderId="24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left"/>
    </xf>
    <xf numFmtId="0" fontId="14" fillId="4" borderId="9" xfId="0" applyFont="1" applyFill="1" applyBorder="1" applyAlignment="1">
      <alignment horizontal="left"/>
    </xf>
    <xf numFmtId="0" fontId="14" fillId="4" borderId="11" xfId="0" applyFont="1" applyFill="1" applyBorder="1" applyAlignment="1">
      <alignment horizontal="left"/>
    </xf>
    <xf numFmtId="0" fontId="13" fillId="4" borderId="8" xfId="0" applyFont="1" applyFill="1" applyBorder="1" applyAlignment="1">
      <alignment horizontal="left"/>
    </xf>
    <xf numFmtId="0" fontId="13" fillId="4" borderId="9" xfId="0" applyFont="1" applyFill="1" applyBorder="1" applyAlignment="1">
      <alignment horizontal="left"/>
    </xf>
    <xf numFmtId="0" fontId="13" fillId="4" borderId="11" xfId="0" applyFont="1" applyFill="1" applyBorder="1" applyAlignment="1">
      <alignment horizontal="left"/>
    </xf>
    <xf numFmtId="0" fontId="13" fillId="5" borderId="34" xfId="0" applyFont="1" applyFill="1" applyBorder="1" applyAlignment="1">
      <alignment horizontal="left"/>
    </xf>
    <xf numFmtId="0" fontId="13" fillId="5" borderId="29" xfId="0" applyFont="1" applyFill="1" applyBorder="1" applyAlignment="1">
      <alignment horizontal="left"/>
    </xf>
    <xf numFmtId="0" fontId="13" fillId="5" borderId="28" xfId="0" applyFont="1" applyFill="1" applyBorder="1" applyAlignment="1">
      <alignment horizontal="left"/>
    </xf>
    <xf numFmtId="0" fontId="12" fillId="4" borderId="34" xfId="0" applyFont="1" applyFill="1" applyBorder="1" applyAlignment="1">
      <alignment horizontal="left"/>
    </xf>
    <xf numFmtId="0" fontId="12" fillId="4" borderId="29" xfId="0" applyFont="1" applyFill="1" applyBorder="1" applyAlignment="1">
      <alignment horizontal="left"/>
    </xf>
    <xf numFmtId="0" fontId="12" fillId="4" borderId="28" xfId="0" applyFont="1" applyFill="1" applyBorder="1" applyAlignment="1">
      <alignment horizontal="left"/>
    </xf>
    <xf numFmtId="0" fontId="14" fillId="5" borderId="23" xfId="0" applyFont="1" applyFill="1" applyBorder="1" applyAlignment="1">
      <alignment horizontal="left"/>
    </xf>
    <xf numFmtId="0" fontId="14" fillId="5" borderId="0" xfId="0" applyFont="1" applyFill="1" applyBorder="1" applyAlignment="1">
      <alignment horizontal="left"/>
    </xf>
    <xf numFmtId="0" fontId="14" fillId="5" borderId="24" xfId="0" applyFont="1" applyFill="1" applyBorder="1" applyAlignment="1">
      <alignment horizontal="left"/>
    </xf>
    <xf numFmtId="0" fontId="14" fillId="5" borderId="8" xfId="0" applyFont="1" applyFill="1" applyBorder="1" applyAlignment="1">
      <alignment horizontal="left"/>
    </xf>
    <xf numFmtId="0" fontId="14" fillId="5" borderId="9" xfId="0" applyFont="1" applyFill="1" applyBorder="1" applyAlignment="1">
      <alignment horizontal="left"/>
    </xf>
    <xf numFmtId="0" fontId="14" fillId="5" borderId="11" xfId="0" applyFont="1" applyFill="1" applyBorder="1" applyAlignment="1">
      <alignment horizontal="left"/>
    </xf>
    <xf numFmtId="0" fontId="13" fillId="4" borderId="34" xfId="0" applyFont="1" applyFill="1" applyBorder="1" applyAlignment="1">
      <alignment horizontal="left"/>
    </xf>
    <xf numFmtId="0" fontId="13" fillId="4" borderId="29" xfId="0" applyFont="1" applyFill="1" applyBorder="1" applyAlignment="1">
      <alignment horizontal="left"/>
    </xf>
    <xf numFmtId="0" fontId="13" fillId="4" borderId="28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6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textRotation="90"/>
    </xf>
    <xf numFmtId="0" fontId="3" fillId="4" borderId="23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89"/>
    </xf>
    <xf numFmtId="0" fontId="3" fillId="4" borderId="3" xfId="0" applyFont="1" applyFill="1" applyBorder="1" applyAlignment="1">
      <alignment horizontal="center" vertical="center" textRotation="89"/>
    </xf>
    <xf numFmtId="0" fontId="3" fillId="4" borderId="7" xfId="0" applyFont="1" applyFill="1" applyBorder="1" applyAlignment="1">
      <alignment horizontal="center" vertical="center" textRotation="89"/>
    </xf>
    <xf numFmtId="0" fontId="3" fillId="4" borderId="20" xfId="0" applyFont="1" applyFill="1" applyBorder="1" applyAlignment="1">
      <alignment horizontal="center" vertical="center" textRotation="90"/>
    </xf>
    <xf numFmtId="0" fontId="3" fillId="4" borderId="22" xfId="0" applyFont="1" applyFill="1" applyBorder="1" applyAlignment="1">
      <alignment horizontal="center" vertical="center" textRotation="90"/>
    </xf>
    <xf numFmtId="0" fontId="3" fillId="4" borderId="47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 vertical="center" textRotation="90"/>
    </xf>
    <xf numFmtId="0" fontId="3" fillId="4" borderId="7" xfId="0" applyFont="1" applyFill="1" applyBorder="1" applyAlignment="1">
      <alignment horizontal="center" vertical="center" textRotation="90"/>
    </xf>
    <xf numFmtId="0" fontId="3" fillId="4" borderId="8" xfId="0" applyFont="1" applyFill="1" applyBorder="1" applyAlignment="1">
      <alignment horizontal="center" vertical="center" textRotation="90"/>
    </xf>
    <xf numFmtId="0" fontId="14" fillId="5" borderId="23" xfId="0" applyFont="1" applyFill="1" applyBorder="1" applyAlignment="1">
      <alignment horizontal="center"/>
    </xf>
    <xf numFmtId="0" fontId="14" fillId="5" borderId="0" xfId="0" applyFont="1" applyFill="1" applyBorder="1" applyAlignment="1">
      <alignment horizontal="center"/>
    </xf>
    <xf numFmtId="0" fontId="14" fillId="5" borderId="24" xfId="0" applyFont="1" applyFill="1" applyBorder="1" applyAlignment="1">
      <alignment horizontal="center"/>
    </xf>
    <xf numFmtId="0" fontId="15" fillId="4" borderId="23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15" fillId="4" borderId="24" xfId="0" applyFont="1" applyFill="1" applyBorder="1" applyAlignment="1">
      <alignment horizontal="left"/>
    </xf>
    <xf numFmtId="0" fontId="3" fillId="8" borderId="4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left"/>
    </xf>
    <xf numFmtId="0" fontId="14" fillId="5" borderId="12" xfId="0" applyFont="1" applyFill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0" fontId="7" fillId="4" borderId="55" xfId="0" applyFont="1" applyFill="1" applyBorder="1" applyAlignment="1" applyProtection="1">
      <alignment horizontal="center"/>
    </xf>
    <xf numFmtId="0" fontId="7" fillId="4" borderId="59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7" fillId="4" borderId="46" xfId="0" applyFont="1" applyFill="1" applyBorder="1" applyAlignment="1" applyProtection="1">
      <alignment horizont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60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center" vertical="center"/>
    </xf>
    <xf numFmtId="10" fontId="1" fillId="2" borderId="22" xfId="0" applyNumberFormat="1" applyFont="1" applyFill="1" applyBorder="1" applyAlignment="1">
      <alignment horizontal="center" vertical="center"/>
    </xf>
    <xf numFmtId="10" fontId="1" fillId="2" borderId="60" xfId="0" applyNumberFormat="1" applyFont="1" applyFill="1" applyBorder="1" applyAlignment="1">
      <alignment horizontal="center" vertical="center"/>
    </xf>
    <xf numFmtId="164" fontId="5" fillId="2" borderId="22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 applyProtection="1">
      <alignment horizontal="center"/>
    </xf>
    <xf numFmtId="0" fontId="0" fillId="0" borderId="4" xfId="0" applyBorder="1"/>
    <xf numFmtId="0" fontId="0" fillId="0" borderId="5" xfId="0" applyBorder="1"/>
    <xf numFmtId="0" fontId="0" fillId="0" borderId="51" xfId="0" applyBorder="1"/>
    <xf numFmtId="0" fontId="1" fillId="0" borderId="14" xfId="0" applyFont="1" applyBorder="1" applyAlignment="1" applyProtection="1">
      <alignment horizontal="center"/>
      <protection locked="0"/>
    </xf>
    <xf numFmtId="0" fontId="1" fillId="0" borderId="15" xfId="0" applyFont="1" applyBorder="1" applyProtection="1">
      <protection locked="0"/>
    </xf>
    <xf numFmtId="0" fontId="0" fillId="0" borderId="17" xfId="0" applyBorder="1"/>
    <xf numFmtId="0" fontId="0" fillId="0" borderId="27" xfId="0" applyBorder="1"/>
    <xf numFmtId="0" fontId="0" fillId="0" borderId="56" xfId="0" applyBorder="1"/>
    <xf numFmtId="0" fontId="0" fillId="0" borderId="58" xfId="0" applyBorder="1"/>
    <xf numFmtId="0" fontId="1" fillId="0" borderId="21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5" xfId="0" applyFont="1" applyBorder="1" applyAlignment="1">
      <alignment horizontal="left"/>
    </xf>
    <xf numFmtId="0" fontId="1" fillId="0" borderId="1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0" xfId="0" applyFont="1" applyBorder="1" applyAlignment="1">
      <alignment horizontal="left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0" fontId="1" fillId="0" borderId="54" xfId="0" applyFont="1" applyBorder="1" applyAlignment="1">
      <alignment horizontal="center"/>
    </xf>
    <xf numFmtId="164" fontId="1" fillId="2" borderId="54" xfId="0" applyNumberFormat="1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4" xfId="0" applyBorder="1"/>
    <xf numFmtId="0" fontId="0" fillId="0" borderId="54" xfId="0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CC"/>
      <color rgb="FF7BBEF5"/>
      <color rgb="FF728BF6"/>
      <color rgb="FF0F3AEF"/>
      <color rgb="FF2048F0"/>
      <color rgb="FF7A92F6"/>
      <color rgb="FF83EDD9"/>
      <color rgb="FF9A7AF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953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715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409574</xdr:colOff>
      <xdr:row>1</xdr:row>
      <xdr:rowOff>190500</xdr:rowOff>
    </xdr:to>
    <xdr:pic>
      <xdr:nvPicPr>
        <xdr:cNvPr id="2" name="Picture 7809" descr="Polymer _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71524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topLeftCell="A35" workbookViewId="0">
      <selection activeCell="F67" sqref="F67"/>
    </sheetView>
  </sheetViews>
  <sheetFormatPr defaultRowHeight="15" x14ac:dyDescent="0.25"/>
  <cols>
    <col min="1" max="1" width="5.42578125" customWidth="1"/>
    <col min="2" max="2" width="7.28515625" customWidth="1"/>
    <col min="3" max="3" width="47.140625" customWidth="1"/>
    <col min="4" max="4" width="5.7109375" bestFit="1" customWidth="1"/>
    <col min="5" max="5" width="5.42578125" bestFit="1" customWidth="1"/>
    <col min="6" max="6" width="10" bestFit="1" customWidth="1"/>
  </cols>
  <sheetData>
    <row r="1" spans="1:6" ht="15" customHeight="1" x14ac:dyDescent="0.25">
      <c r="A1" s="2"/>
      <c r="B1" s="3"/>
      <c r="C1" s="253" t="s">
        <v>183</v>
      </c>
      <c r="D1" s="254"/>
      <c r="E1" s="254"/>
      <c r="F1" s="255"/>
    </row>
    <row r="2" spans="1:6" ht="15.75" thickBot="1" x14ac:dyDescent="0.3">
      <c r="A2" s="4"/>
      <c r="B2" s="5"/>
      <c r="C2" s="256"/>
      <c r="D2" s="257"/>
      <c r="E2" s="257"/>
      <c r="F2" s="258"/>
    </row>
    <row r="3" spans="1:6" ht="23.25" thickBot="1" x14ac:dyDescent="0.3">
      <c r="A3" s="75" t="s">
        <v>80</v>
      </c>
      <c r="B3" s="76" t="s">
        <v>0</v>
      </c>
      <c r="C3" s="251" t="s">
        <v>14</v>
      </c>
      <c r="D3" s="252" t="s">
        <v>79</v>
      </c>
      <c r="E3" s="268" t="s">
        <v>1</v>
      </c>
      <c r="F3" s="259" t="s">
        <v>184</v>
      </c>
    </row>
    <row r="4" spans="1:6" x14ac:dyDescent="0.25">
      <c r="A4" s="228" t="s">
        <v>7</v>
      </c>
      <c r="B4" s="43" t="s">
        <v>2</v>
      </c>
      <c r="C4" s="46" t="s">
        <v>15</v>
      </c>
      <c r="D4" s="59">
        <v>60</v>
      </c>
      <c r="E4" s="260">
        <v>6.5000000000000002E-2</v>
      </c>
      <c r="F4" s="271">
        <v>39249000</v>
      </c>
    </row>
    <row r="5" spans="1:6" x14ac:dyDescent="0.25">
      <c r="A5" s="229"/>
      <c r="B5" s="44" t="s">
        <v>3</v>
      </c>
      <c r="C5" s="41" t="s">
        <v>16</v>
      </c>
      <c r="D5" s="60">
        <v>12</v>
      </c>
      <c r="E5" s="261">
        <v>6.5000000000000002E-2</v>
      </c>
      <c r="F5" s="269">
        <v>39249000</v>
      </c>
    </row>
    <row r="6" spans="1:6" x14ac:dyDescent="0.25">
      <c r="A6" s="229"/>
      <c r="B6" s="44" t="s">
        <v>4</v>
      </c>
      <c r="C6" s="41" t="s">
        <v>17</v>
      </c>
      <c r="D6" s="60">
        <v>60</v>
      </c>
      <c r="E6" s="261">
        <v>6.5000000000000002E-2</v>
      </c>
      <c r="F6" s="269">
        <v>39249000</v>
      </c>
    </row>
    <row r="7" spans="1:6" x14ac:dyDescent="0.25">
      <c r="A7" s="229"/>
      <c r="B7" s="44" t="s">
        <v>5</v>
      </c>
      <c r="C7" s="41" t="s">
        <v>18</v>
      </c>
      <c r="D7" s="60">
        <v>12</v>
      </c>
      <c r="E7" s="261">
        <v>6.5000000000000002E-2</v>
      </c>
      <c r="F7" s="269">
        <v>39249000</v>
      </c>
    </row>
    <row r="8" spans="1:6" s="1" customFormat="1" x14ac:dyDescent="0.25">
      <c r="A8" s="229"/>
      <c r="B8" s="44" t="s">
        <v>133</v>
      </c>
      <c r="C8" s="41" t="s">
        <v>134</v>
      </c>
      <c r="D8" s="60">
        <v>5</v>
      </c>
      <c r="E8" s="261">
        <v>6.5000000000000002E-2</v>
      </c>
      <c r="F8" s="269">
        <v>39249000</v>
      </c>
    </row>
    <row r="9" spans="1:6" x14ac:dyDescent="0.25">
      <c r="A9" s="229"/>
      <c r="B9" s="44">
        <v>1010</v>
      </c>
      <c r="C9" s="41" t="s">
        <v>19</v>
      </c>
      <c r="D9" s="60">
        <v>12</v>
      </c>
      <c r="E9" s="261">
        <v>6.5000000000000002E-2</v>
      </c>
      <c r="F9" s="269">
        <v>39241000</v>
      </c>
    </row>
    <row r="10" spans="1:6" x14ac:dyDescent="0.25">
      <c r="A10" s="229"/>
      <c r="B10" s="44">
        <v>1011</v>
      </c>
      <c r="C10" s="41" t="s">
        <v>20</v>
      </c>
      <c r="D10" s="60">
        <v>12</v>
      </c>
      <c r="E10" s="261">
        <v>6.5000000000000002E-2</v>
      </c>
      <c r="F10" s="269">
        <v>39241000</v>
      </c>
    </row>
    <row r="11" spans="1:6" x14ac:dyDescent="0.25">
      <c r="A11" s="229"/>
      <c r="B11" s="44">
        <v>1012</v>
      </c>
      <c r="C11" s="41" t="s">
        <v>21</v>
      </c>
      <c r="D11" s="60">
        <v>12</v>
      </c>
      <c r="E11" s="261">
        <v>6.5000000000000002E-2</v>
      </c>
      <c r="F11" s="269">
        <v>39241000</v>
      </c>
    </row>
    <row r="12" spans="1:6" x14ac:dyDescent="0.25">
      <c r="A12" s="229"/>
      <c r="B12" s="44">
        <v>1013</v>
      </c>
      <c r="C12" s="41" t="s">
        <v>22</v>
      </c>
      <c r="D12" s="60">
        <v>12</v>
      </c>
      <c r="E12" s="261">
        <v>6.5000000000000002E-2</v>
      </c>
      <c r="F12" s="269">
        <v>39241000</v>
      </c>
    </row>
    <row r="13" spans="1:6" x14ac:dyDescent="0.25">
      <c r="A13" s="229"/>
      <c r="B13" s="44">
        <v>1023</v>
      </c>
      <c r="C13" s="41" t="s">
        <v>23</v>
      </c>
      <c r="D13" s="60">
        <v>12</v>
      </c>
      <c r="E13" s="261">
        <v>6.5000000000000002E-2</v>
      </c>
      <c r="F13" s="269">
        <v>39249000</v>
      </c>
    </row>
    <row r="14" spans="1:6" x14ac:dyDescent="0.25">
      <c r="A14" s="229"/>
      <c r="B14" s="44">
        <v>1024</v>
      </c>
      <c r="C14" s="41" t="s">
        <v>24</v>
      </c>
      <c r="D14" s="60">
        <v>12</v>
      </c>
      <c r="E14" s="261">
        <v>6.5000000000000002E-2</v>
      </c>
      <c r="F14" s="269">
        <v>39249000</v>
      </c>
    </row>
    <row r="15" spans="1:6" x14ac:dyDescent="0.25">
      <c r="A15" s="229"/>
      <c r="B15" s="44">
        <v>1025</v>
      </c>
      <c r="C15" s="41" t="s">
        <v>25</v>
      </c>
      <c r="D15" s="60">
        <v>12</v>
      </c>
      <c r="E15" s="261">
        <v>6.5000000000000002E-2</v>
      </c>
      <c r="F15" s="269">
        <v>39249000</v>
      </c>
    </row>
    <row r="16" spans="1:6" s="1" customFormat="1" x14ac:dyDescent="0.25">
      <c r="A16" s="229"/>
      <c r="B16" s="44" t="s">
        <v>136</v>
      </c>
      <c r="C16" s="41" t="s">
        <v>137</v>
      </c>
      <c r="D16" s="60">
        <v>12</v>
      </c>
      <c r="E16" s="261">
        <v>6.5000000000000002E-2</v>
      </c>
      <c r="F16" s="269">
        <v>39249000</v>
      </c>
    </row>
    <row r="17" spans="1:6" x14ac:dyDescent="0.25">
      <c r="A17" s="229"/>
      <c r="B17" s="44" t="s">
        <v>6</v>
      </c>
      <c r="C17" s="41" t="s">
        <v>26</v>
      </c>
      <c r="D17" s="60">
        <v>12</v>
      </c>
      <c r="E17" s="261">
        <v>6.5000000000000002E-2</v>
      </c>
      <c r="F17" s="269">
        <v>39249000</v>
      </c>
    </row>
    <row r="18" spans="1:6" ht="15.75" thickBot="1" x14ac:dyDescent="0.3">
      <c r="A18" s="229"/>
      <c r="B18" s="45">
        <v>1038</v>
      </c>
      <c r="C18" s="175" t="s">
        <v>27</v>
      </c>
      <c r="D18" s="61">
        <v>24</v>
      </c>
      <c r="E18" s="262">
        <v>6.5000000000000002E-2</v>
      </c>
      <c r="F18" s="270">
        <v>39249000</v>
      </c>
    </row>
    <row r="19" spans="1:6" ht="15" customHeight="1" x14ac:dyDescent="0.25">
      <c r="A19" s="230" t="s">
        <v>182</v>
      </c>
      <c r="B19" s="272">
        <v>2100</v>
      </c>
      <c r="C19" s="273" t="s">
        <v>28</v>
      </c>
      <c r="D19" s="62">
        <v>6</v>
      </c>
      <c r="E19" s="260">
        <v>6.5000000000000002E-2</v>
      </c>
      <c r="F19" s="274">
        <v>39249000</v>
      </c>
    </row>
    <row r="20" spans="1:6" s="1" customFormat="1" x14ac:dyDescent="0.25">
      <c r="A20" s="231"/>
      <c r="B20" s="125">
        <v>2101</v>
      </c>
      <c r="C20" s="126" t="s">
        <v>135</v>
      </c>
      <c r="D20" s="127">
        <v>6</v>
      </c>
      <c r="E20" s="263">
        <v>6.5000000000000002E-2</v>
      </c>
      <c r="F20" s="275">
        <v>39249000</v>
      </c>
    </row>
    <row r="21" spans="1:6" s="1" customFormat="1" x14ac:dyDescent="0.25">
      <c r="A21" s="231"/>
      <c r="B21" s="125">
        <v>2102</v>
      </c>
      <c r="C21" s="126" t="s">
        <v>138</v>
      </c>
      <c r="D21" s="127">
        <v>6</v>
      </c>
      <c r="E21" s="264">
        <v>9.7500000000000003E-2</v>
      </c>
      <c r="F21" s="276">
        <v>39269090</v>
      </c>
    </row>
    <row r="22" spans="1:6" s="1" customFormat="1" x14ac:dyDescent="0.25">
      <c r="A22" s="231"/>
      <c r="B22" s="125">
        <v>2103</v>
      </c>
      <c r="C22" s="126" t="s">
        <v>139</v>
      </c>
      <c r="D22" s="127">
        <v>6</v>
      </c>
      <c r="E22" s="264">
        <v>9.7500000000000003E-2</v>
      </c>
      <c r="F22" s="276">
        <v>39269090</v>
      </c>
    </row>
    <row r="23" spans="1:6" s="1" customFormat="1" x14ac:dyDescent="0.25">
      <c r="A23" s="231"/>
      <c r="B23" s="125">
        <v>2104</v>
      </c>
      <c r="C23" s="126" t="s">
        <v>140</v>
      </c>
      <c r="D23" s="127">
        <v>12</v>
      </c>
      <c r="E23" s="263">
        <v>6.5000000000000002E-2</v>
      </c>
      <c r="F23" s="276">
        <v>39249000</v>
      </c>
    </row>
    <row r="24" spans="1:6" s="1" customFormat="1" x14ac:dyDescent="0.25">
      <c r="A24" s="231"/>
      <c r="B24" s="125">
        <v>2105</v>
      </c>
      <c r="C24" s="126" t="s">
        <v>147</v>
      </c>
      <c r="D24" s="127">
        <v>6</v>
      </c>
      <c r="E24" s="264">
        <v>9.7500000000000003E-2</v>
      </c>
      <c r="F24" s="276">
        <v>39269090</v>
      </c>
    </row>
    <row r="25" spans="1:6" s="1" customFormat="1" x14ac:dyDescent="0.25">
      <c r="A25" s="231"/>
      <c r="B25" s="125">
        <v>2106</v>
      </c>
      <c r="C25" s="126" t="s">
        <v>148</v>
      </c>
      <c r="D25" s="127">
        <v>12</v>
      </c>
      <c r="E25" s="264">
        <v>9.7500000000000003E-2</v>
      </c>
      <c r="F25" s="276">
        <v>39269090</v>
      </c>
    </row>
    <row r="26" spans="1:6" x14ac:dyDescent="0.25">
      <c r="A26" s="231"/>
      <c r="B26" s="125">
        <v>2107</v>
      </c>
      <c r="C26" s="126" t="s">
        <v>149</v>
      </c>
      <c r="D26" s="127">
        <v>6</v>
      </c>
      <c r="E26" s="264">
        <v>9.7500000000000003E-2</v>
      </c>
      <c r="F26" s="276">
        <v>39269090</v>
      </c>
    </row>
    <row r="27" spans="1:6" x14ac:dyDescent="0.25">
      <c r="A27" s="231"/>
      <c r="B27" s="44">
        <v>2139</v>
      </c>
      <c r="C27" s="40" t="s">
        <v>166</v>
      </c>
      <c r="D27" s="60">
        <v>12</v>
      </c>
      <c r="E27" s="264">
        <v>9.7500000000000003E-2</v>
      </c>
      <c r="F27" s="276">
        <v>39269090</v>
      </c>
    </row>
    <row r="28" spans="1:6" x14ac:dyDescent="0.25">
      <c r="A28" s="231"/>
      <c r="B28" s="44">
        <v>2140</v>
      </c>
      <c r="C28" s="40" t="s">
        <v>167</v>
      </c>
      <c r="D28" s="60">
        <v>24</v>
      </c>
      <c r="E28" s="264">
        <v>9.7500000000000003E-2</v>
      </c>
      <c r="F28" s="276">
        <v>39269090</v>
      </c>
    </row>
    <row r="29" spans="1:6" x14ac:dyDescent="0.25">
      <c r="A29" s="231"/>
      <c r="B29" s="44">
        <v>2141</v>
      </c>
      <c r="C29" s="40" t="s">
        <v>168</v>
      </c>
      <c r="D29" s="60">
        <v>12</v>
      </c>
      <c r="E29" s="264">
        <v>9.7500000000000003E-2</v>
      </c>
      <c r="F29" s="276">
        <v>39269090</v>
      </c>
    </row>
    <row r="30" spans="1:6" x14ac:dyDescent="0.25">
      <c r="A30" s="231"/>
      <c r="B30" s="44">
        <v>2142</v>
      </c>
      <c r="C30" s="40" t="s">
        <v>169</v>
      </c>
      <c r="D30" s="60">
        <v>12</v>
      </c>
      <c r="E30" s="264">
        <v>9.7500000000000003E-2</v>
      </c>
      <c r="F30" s="276">
        <v>39269090</v>
      </c>
    </row>
    <row r="31" spans="1:6" s="1" customFormat="1" x14ac:dyDescent="0.25">
      <c r="A31" s="231"/>
      <c r="B31" s="44">
        <v>2143</v>
      </c>
      <c r="C31" s="40" t="s">
        <v>170</v>
      </c>
      <c r="D31" s="60">
        <v>12</v>
      </c>
      <c r="E31" s="264">
        <v>9.7500000000000003E-2</v>
      </c>
      <c r="F31" s="276">
        <v>39269090</v>
      </c>
    </row>
    <row r="32" spans="1:6" s="1" customFormat="1" x14ac:dyDescent="0.25">
      <c r="A32" s="231"/>
      <c r="B32" s="44">
        <v>2144</v>
      </c>
      <c r="C32" s="40" t="s">
        <v>171</v>
      </c>
      <c r="D32" s="60">
        <v>12</v>
      </c>
      <c r="E32" s="264">
        <v>9.7500000000000003E-2</v>
      </c>
      <c r="F32" s="276">
        <v>39269090</v>
      </c>
    </row>
    <row r="33" spans="1:6" x14ac:dyDescent="0.25">
      <c r="A33" s="231"/>
      <c r="B33" s="44">
        <v>2145</v>
      </c>
      <c r="C33" s="40" t="s">
        <v>172</v>
      </c>
      <c r="D33" s="60">
        <v>12</v>
      </c>
      <c r="E33" s="264">
        <v>9.7500000000000003E-2</v>
      </c>
      <c r="F33" s="276">
        <v>39269090</v>
      </c>
    </row>
    <row r="34" spans="1:6" x14ac:dyDescent="0.25">
      <c r="A34" s="231"/>
      <c r="B34" s="44">
        <v>2146</v>
      </c>
      <c r="C34" s="40" t="s">
        <v>173</v>
      </c>
      <c r="D34" s="60">
        <v>12</v>
      </c>
      <c r="E34" s="264">
        <v>9.7500000000000003E-2</v>
      </c>
      <c r="F34" s="276">
        <v>39269090</v>
      </c>
    </row>
    <row r="35" spans="1:6" x14ac:dyDescent="0.25">
      <c r="A35" s="231"/>
      <c r="B35" s="44">
        <v>2147</v>
      </c>
      <c r="C35" s="40" t="s">
        <v>178</v>
      </c>
      <c r="D35" s="60">
        <v>12</v>
      </c>
      <c r="E35" s="261">
        <v>6.5000000000000002E-2</v>
      </c>
      <c r="F35" s="275">
        <v>39249000</v>
      </c>
    </row>
    <row r="36" spans="1:6" x14ac:dyDescent="0.25">
      <c r="A36" s="231"/>
      <c r="B36" s="44">
        <v>2148</v>
      </c>
      <c r="C36" s="40" t="s">
        <v>174</v>
      </c>
      <c r="D36" s="60">
        <v>24</v>
      </c>
      <c r="E36" s="261">
        <v>6.5000000000000002E-2</v>
      </c>
      <c r="F36" s="275">
        <v>39249000</v>
      </c>
    </row>
    <row r="37" spans="1:6" x14ac:dyDescent="0.25">
      <c r="A37" s="231"/>
      <c r="B37" s="44">
        <v>2149</v>
      </c>
      <c r="C37" s="40" t="s">
        <v>175</v>
      </c>
      <c r="D37" s="60">
        <v>24</v>
      </c>
      <c r="E37" s="261">
        <v>6.5000000000000002E-2</v>
      </c>
      <c r="F37" s="275">
        <v>39249000</v>
      </c>
    </row>
    <row r="38" spans="1:6" x14ac:dyDescent="0.25">
      <c r="A38" s="231"/>
      <c r="B38" s="44">
        <v>2150</v>
      </c>
      <c r="C38" s="40" t="s">
        <v>176</v>
      </c>
      <c r="D38" s="60">
        <v>12</v>
      </c>
      <c r="E38" s="264">
        <v>6.5000000000000002E-2</v>
      </c>
      <c r="F38" s="276">
        <v>39249000</v>
      </c>
    </row>
    <row r="39" spans="1:6" x14ac:dyDescent="0.25">
      <c r="A39" s="231"/>
      <c r="B39" s="44">
        <v>2151</v>
      </c>
      <c r="C39" s="40" t="s">
        <v>177</v>
      </c>
      <c r="D39" s="60">
        <v>12</v>
      </c>
      <c r="E39" s="264">
        <v>6.5000000000000002E-2</v>
      </c>
      <c r="F39" s="275">
        <v>39249000</v>
      </c>
    </row>
    <row r="40" spans="1:6" x14ac:dyDescent="0.25">
      <c r="A40" s="231"/>
      <c r="B40" s="44">
        <v>2152</v>
      </c>
      <c r="C40" s="40" t="s">
        <v>150</v>
      </c>
      <c r="D40" s="60">
        <v>12</v>
      </c>
      <c r="E40" s="264">
        <v>6.5000000000000002E-2</v>
      </c>
      <c r="F40" s="275">
        <v>39249000</v>
      </c>
    </row>
    <row r="41" spans="1:6" x14ac:dyDescent="0.25">
      <c r="A41" s="231"/>
      <c r="B41" s="44">
        <v>2513</v>
      </c>
      <c r="C41" s="40" t="s">
        <v>29</v>
      </c>
      <c r="D41" s="60">
        <v>12</v>
      </c>
      <c r="E41" s="261">
        <v>6.5000000000000002E-2</v>
      </c>
      <c r="F41" s="275">
        <v>39249000</v>
      </c>
    </row>
    <row r="42" spans="1:6" x14ac:dyDescent="0.25">
      <c r="A42" s="231"/>
      <c r="B42" s="44">
        <v>2601</v>
      </c>
      <c r="C42" s="40" t="s">
        <v>30</v>
      </c>
      <c r="D42" s="60">
        <v>12</v>
      </c>
      <c r="E42" s="264">
        <v>9.7500000000000003E-2</v>
      </c>
      <c r="F42" s="276">
        <v>39269090</v>
      </c>
    </row>
    <row r="43" spans="1:6" x14ac:dyDescent="0.25">
      <c r="A43" s="231"/>
      <c r="B43" s="44">
        <v>2602</v>
      </c>
      <c r="C43" s="40" t="s">
        <v>31</v>
      </c>
      <c r="D43" s="60">
        <v>12</v>
      </c>
      <c r="E43" s="264">
        <v>9.7500000000000003E-2</v>
      </c>
      <c r="F43" s="276">
        <v>39269090</v>
      </c>
    </row>
    <row r="44" spans="1:6" x14ac:dyDescent="0.25">
      <c r="A44" s="231"/>
      <c r="B44" s="44">
        <v>2701</v>
      </c>
      <c r="C44" s="40" t="s">
        <v>32</v>
      </c>
      <c r="D44" s="60">
        <v>12</v>
      </c>
      <c r="E44" s="264">
        <v>9.7500000000000003E-2</v>
      </c>
      <c r="F44" s="276">
        <v>39269090</v>
      </c>
    </row>
    <row r="45" spans="1:6" x14ac:dyDescent="0.25">
      <c r="A45" s="231"/>
      <c r="B45" s="44">
        <v>2702</v>
      </c>
      <c r="C45" s="40" t="s">
        <v>33</v>
      </c>
      <c r="D45" s="60">
        <v>12</v>
      </c>
      <c r="E45" s="264">
        <v>9.7500000000000003E-2</v>
      </c>
      <c r="F45" s="276">
        <v>39269090</v>
      </c>
    </row>
    <row r="46" spans="1:6" x14ac:dyDescent="0.25">
      <c r="A46" s="231"/>
      <c r="B46" s="44">
        <v>2703</v>
      </c>
      <c r="C46" s="40" t="s">
        <v>34</v>
      </c>
      <c r="D46" s="60">
        <v>12</v>
      </c>
      <c r="E46" s="264">
        <v>9.7500000000000003E-2</v>
      </c>
      <c r="F46" s="276">
        <v>39269090</v>
      </c>
    </row>
    <row r="47" spans="1:6" x14ac:dyDescent="0.25">
      <c r="A47" s="231"/>
      <c r="B47" s="44">
        <v>2750</v>
      </c>
      <c r="C47" s="40" t="s">
        <v>179</v>
      </c>
      <c r="D47" s="60">
        <v>8</v>
      </c>
      <c r="E47" s="261">
        <v>6.5000000000000002E-2</v>
      </c>
      <c r="F47" s="275">
        <v>39249000</v>
      </c>
    </row>
    <row r="48" spans="1:6" x14ac:dyDescent="0.25">
      <c r="A48" s="231"/>
      <c r="B48" s="44">
        <v>2751</v>
      </c>
      <c r="C48" s="40" t="s">
        <v>35</v>
      </c>
      <c r="D48" s="60">
        <v>12</v>
      </c>
      <c r="E48" s="264">
        <v>9.7500000000000003E-2</v>
      </c>
      <c r="F48" s="276">
        <v>39269090</v>
      </c>
    </row>
    <row r="49" spans="1:6" x14ac:dyDescent="0.25">
      <c r="A49" s="231"/>
      <c r="B49" s="44">
        <v>2752</v>
      </c>
      <c r="C49" s="40" t="s">
        <v>180</v>
      </c>
      <c r="D49" s="60">
        <v>24</v>
      </c>
      <c r="E49" s="261">
        <v>6.5000000000000002E-2</v>
      </c>
      <c r="F49" s="275">
        <v>39249000</v>
      </c>
    </row>
    <row r="50" spans="1:6" x14ac:dyDescent="0.25">
      <c r="A50" s="231"/>
      <c r="B50" s="44">
        <v>2753</v>
      </c>
      <c r="C50" s="40" t="s">
        <v>181</v>
      </c>
      <c r="D50" s="60">
        <v>12</v>
      </c>
      <c r="E50" s="261">
        <v>6.5000000000000002E-2</v>
      </c>
      <c r="F50" s="275">
        <v>39249000</v>
      </c>
    </row>
    <row r="51" spans="1:6" x14ac:dyDescent="0.25">
      <c r="A51" s="231"/>
      <c r="B51" s="44">
        <v>2754</v>
      </c>
      <c r="C51" s="40" t="s">
        <v>86</v>
      </c>
      <c r="D51" s="60">
        <v>36</v>
      </c>
      <c r="E51" s="264">
        <v>9.7500000000000003E-2</v>
      </c>
      <c r="F51" s="276">
        <v>39269090</v>
      </c>
    </row>
    <row r="52" spans="1:6" x14ac:dyDescent="0.25">
      <c r="A52" s="231"/>
      <c r="B52" s="44">
        <v>2755</v>
      </c>
      <c r="C52" s="40" t="s">
        <v>87</v>
      </c>
      <c r="D52" s="60">
        <v>12</v>
      </c>
      <c r="E52" s="264">
        <v>9.7500000000000003E-2</v>
      </c>
      <c r="F52" s="276">
        <v>39269090</v>
      </c>
    </row>
    <row r="53" spans="1:6" ht="15.75" thickBot="1" x14ac:dyDescent="0.3">
      <c r="A53" s="232"/>
      <c r="B53" s="45">
        <v>2802</v>
      </c>
      <c r="C53" s="42" t="s">
        <v>36</v>
      </c>
      <c r="D53" s="61">
        <v>6</v>
      </c>
      <c r="E53" s="265">
        <v>9.7500000000000003E-2</v>
      </c>
      <c r="F53" s="277">
        <v>39269090</v>
      </c>
    </row>
    <row r="54" spans="1:6" ht="15" customHeight="1" x14ac:dyDescent="0.25">
      <c r="A54" s="233" t="s">
        <v>9</v>
      </c>
      <c r="B54" s="285">
        <v>3901</v>
      </c>
      <c r="C54" s="56" t="s">
        <v>37</v>
      </c>
      <c r="D54" s="285">
        <v>12</v>
      </c>
      <c r="E54" s="291">
        <v>6.5000000000000002E-2</v>
      </c>
      <c r="F54" s="297">
        <v>42021210</v>
      </c>
    </row>
    <row r="55" spans="1:6" x14ac:dyDescent="0.25">
      <c r="A55" s="234"/>
      <c r="B55" s="286">
        <v>3905</v>
      </c>
      <c r="C55" s="47" t="s">
        <v>38</v>
      </c>
      <c r="D55" s="282">
        <v>24</v>
      </c>
      <c r="E55" s="289">
        <v>6.5000000000000002E-2</v>
      </c>
      <c r="F55" s="269">
        <v>42021210</v>
      </c>
    </row>
    <row r="56" spans="1:6" x14ac:dyDescent="0.25">
      <c r="A56" s="234"/>
      <c r="B56" s="286">
        <v>3907</v>
      </c>
      <c r="C56" s="57" t="s">
        <v>39</v>
      </c>
      <c r="D56" s="286">
        <v>12</v>
      </c>
      <c r="E56" s="289">
        <v>6.5000000000000002E-2</v>
      </c>
      <c r="F56" s="269">
        <v>42021210</v>
      </c>
    </row>
    <row r="57" spans="1:6" x14ac:dyDescent="0.25">
      <c r="A57" s="234"/>
      <c r="B57" s="286">
        <v>3952</v>
      </c>
      <c r="C57" s="47" t="s">
        <v>40</v>
      </c>
      <c r="D57" s="282">
        <v>6</v>
      </c>
      <c r="E57" s="289">
        <v>6.5000000000000002E-2</v>
      </c>
      <c r="F57" s="269">
        <v>42021210</v>
      </c>
    </row>
    <row r="58" spans="1:6" x14ac:dyDescent="0.25">
      <c r="A58" s="234"/>
      <c r="B58" s="286">
        <v>3953</v>
      </c>
      <c r="C58" s="47" t="s">
        <v>41</v>
      </c>
      <c r="D58" s="282">
        <v>6</v>
      </c>
      <c r="E58" s="289">
        <v>6.5000000000000002E-2</v>
      </c>
      <c r="F58" s="269">
        <v>42021210</v>
      </c>
    </row>
    <row r="59" spans="1:6" s="1" customFormat="1" x14ac:dyDescent="0.25">
      <c r="A59" s="234"/>
      <c r="B59" s="294">
        <v>3954</v>
      </c>
      <c r="C59" s="143" t="s">
        <v>42</v>
      </c>
      <c r="D59" s="282">
        <v>12</v>
      </c>
      <c r="E59" s="289">
        <v>6.5000000000000002E-2</v>
      </c>
      <c r="F59" s="269">
        <v>42021210</v>
      </c>
    </row>
    <row r="60" spans="1:6" s="1" customFormat="1" x14ac:dyDescent="0.25">
      <c r="A60" s="234"/>
      <c r="B60" s="294">
        <v>3955</v>
      </c>
      <c r="C60" s="143" t="s">
        <v>141</v>
      </c>
      <c r="D60" s="282">
        <v>12</v>
      </c>
      <c r="E60" s="289">
        <v>6.5000000000000002E-2</v>
      </c>
      <c r="F60" s="269">
        <v>42021210</v>
      </c>
    </row>
    <row r="61" spans="1:6" s="1" customFormat="1" x14ac:dyDescent="0.25">
      <c r="A61" s="234"/>
      <c r="B61" s="294">
        <v>3956</v>
      </c>
      <c r="C61" s="143" t="s">
        <v>142</v>
      </c>
      <c r="D61" s="282">
        <v>12</v>
      </c>
      <c r="E61" s="289">
        <v>6.5000000000000002E-2</v>
      </c>
      <c r="F61" s="269">
        <v>42021210</v>
      </c>
    </row>
    <row r="62" spans="1:6" s="1" customFormat="1" x14ac:dyDescent="0.25">
      <c r="A62" s="235"/>
      <c r="B62" s="286">
        <v>3957</v>
      </c>
      <c r="C62" s="47" t="s">
        <v>143</v>
      </c>
      <c r="D62" s="282">
        <v>9</v>
      </c>
      <c r="E62" s="169">
        <v>6.5000000000000002E-2</v>
      </c>
      <c r="F62" s="269">
        <v>42021210</v>
      </c>
    </row>
    <row r="63" spans="1:6" s="1" customFormat="1" x14ac:dyDescent="0.25">
      <c r="A63" s="235"/>
      <c r="B63" s="295">
        <v>3958</v>
      </c>
      <c r="C63" s="284" t="s">
        <v>151</v>
      </c>
      <c r="D63" s="296">
        <v>12</v>
      </c>
      <c r="E63" s="163">
        <v>6.5000000000000002E-2</v>
      </c>
      <c r="F63" s="269">
        <v>42021210</v>
      </c>
    </row>
    <row r="64" spans="1:6" s="1" customFormat="1" x14ac:dyDescent="0.25">
      <c r="A64" s="235"/>
      <c r="B64" s="286">
        <v>3959</v>
      </c>
      <c r="C64" s="284" t="s">
        <v>152</v>
      </c>
      <c r="D64" s="292">
        <v>12</v>
      </c>
      <c r="E64" s="293">
        <v>6.5000000000000002E-2</v>
      </c>
      <c r="F64" s="269">
        <v>42021210</v>
      </c>
    </row>
    <row r="65" spans="1:6" s="280" customFormat="1" x14ac:dyDescent="0.25">
      <c r="A65" s="235"/>
      <c r="B65" s="286">
        <v>3960</v>
      </c>
      <c r="C65" s="284" t="s">
        <v>153</v>
      </c>
      <c r="D65" s="292">
        <v>12</v>
      </c>
      <c r="E65" s="293">
        <v>6.5000000000000002E-2</v>
      </c>
      <c r="F65" s="298">
        <v>42021210</v>
      </c>
    </row>
    <row r="66" spans="1:6" ht="15.75" thickBot="1" x14ac:dyDescent="0.3">
      <c r="A66" s="235"/>
      <c r="B66" s="287">
        <v>3963</v>
      </c>
      <c r="C66" s="288" t="s">
        <v>188</v>
      </c>
      <c r="D66" s="283">
        <v>12</v>
      </c>
      <c r="E66" s="290">
        <v>6.5000000000000002E-2</v>
      </c>
      <c r="F66" s="270">
        <v>42021210</v>
      </c>
    </row>
    <row r="67" spans="1:6" ht="15" customHeight="1" x14ac:dyDescent="0.25">
      <c r="A67" s="236" t="s">
        <v>10</v>
      </c>
      <c r="B67" s="43">
        <v>4000</v>
      </c>
      <c r="C67" s="48" t="s">
        <v>144</v>
      </c>
      <c r="D67" s="59">
        <v>12</v>
      </c>
      <c r="E67" s="260">
        <v>6.5000000000000002E-2</v>
      </c>
      <c r="F67" s="274">
        <v>42021210</v>
      </c>
    </row>
    <row r="68" spans="1:6" s="1" customFormat="1" x14ac:dyDescent="0.25">
      <c r="A68" s="237"/>
      <c r="B68" s="144">
        <v>4001</v>
      </c>
      <c r="C68" s="145" t="s">
        <v>43</v>
      </c>
      <c r="D68" s="146">
        <v>24</v>
      </c>
      <c r="E68" s="263">
        <v>6.5000000000000002E-2</v>
      </c>
      <c r="F68" s="276">
        <v>42021210</v>
      </c>
    </row>
    <row r="69" spans="1:6" x14ac:dyDescent="0.25">
      <c r="A69" s="237"/>
      <c r="B69" s="44">
        <v>4002</v>
      </c>
      <c r="C69" s="40" t="s">
        <v>44</v>
      </c>
      <c r="D69" s="60">
        <v>12</v>
      </c>
      <c r="E69" s="261">
        <v>6.5000000000000002E-2</v>
      </c>
      <c r="F69" s="276">
        <v>42021210</v>
      </c>
    </row>
    <row r="70" spans="1:6" x14ac:dyDescent="0.25">
      <c r="A70" s="237"/>
      <c r="B70" s="44">
        <v>4003</v>
      </c>
      <c r="C70" s="40" t="s">
        <v>45</v>
      </c>
      <c r="D70" s="60">
        <v>12</v>
      </c>
      <c r="E70" s="261">
        <v>6.5000000000000002E-2</v>
      </c>
      <c r="F70" s="276">
        <v>42021210</v>
      </c>
    </row>
    <row r="71" spans="1:6" x14ac:dyDescent="0.25">
      <c r="A71" s="237"/>
      <c r="B71" s="44">
        <v>4013</v>
      </c>
      <c r="C71" s="40" t="s">
        <v>46</v>
      </c>
      <c r="D71" s="60">
        <v>24</v>
      </c>
      <c r="E71" s="261">
        <v>6.5000000000000002E-2</v>
      </c>
      <c r="F71" s="276">
        <v>42021210</v>
      </c>
    </row>
    <row r="72" spans="1:6" x14ac:dyDescent="0.25">
      <c r="A72" s="237"/>
      <c r="B72" s="44">
        <v>4016</v>
      </c>
      <c r="C72" s="40" t="s">
        <v>47</v>
      </c>
      <c r="D72" s="60">
        <v>12</v>
      </c>
      <c r="E72" s="261">
        <v>6.5000000000000002E-2</v>
      </c>
      <c r="F72" s="276">
        <v>42021210</v>
      </c>
    </row>
    <row r="73" spans="1:6" s="1" customFormat="1" x14ac:dyDescent="0.25">
      <c r="A73" s="237"/>
      <c r="B73" s="44">
        <v>4017</v>
      </c>
      <c r="C73" s="40" t="s">
        <v>48</v>
      </c>
      <c r="D73" s="60">
        <v>12</v>
      </c>
      <c r="E73" s="261">
        <v>6.5000000000000002E-2</v>
      </c>
      <c r="F73" s="276">
        <v>42021210</v>
      </c>
    </row>
    <row r="74" spans="1:6" s="1" customFormat="1" x14ac:dyDescent="0.25">
      <c r="A74" s="237"/>
      <c r="B74" s="44">
        <v>4019</v>
      </c>
      <c r="C74" s="40" t="s">
        <v>49</v>
      </c>
      <c r="D74" s="60">
        <v>6</v>
      </c>
      <c r="E74" s="261">
        <v>6.5000000000000002E-2</v>
      </c>
      <c r="F74" s="276">
        <v>42021210</v>
      </c>
    </row>
    <row r="75" spans="1:6" s="1" customFormat="1" x14ac:dyDescent="0.25">
      <c r="A75" s="237"/>
      <c r="B75" s="44">
        <v>4020</v>
      </c>
      <c r="C75" s="40" t="s">
        <v>50</v>
      </c>
      <c r="D75" s="60">
        <v>24</v>
      </c>
      <c r="E75" s="261">
        <v>6.5000000000000002E-2</v>
      </c>
      <c r="F75" s="276">
        <v>42021210</v>
      </c>
    </row>
    <row r="76" spans="1:6" s="1" customFormat="1" x14ac:dyDescent="0.25">
      <c r="A76" s="237"/>
      <c r="B76" s="44">
        <v>4029</v>
      </c>
      <c r="C76" s="40" t="s">
        <v>51</v>
      </c>
      <c r="D76" s="60">
        <v>12</v>
      </c>
      <c r="E76" s="261">
        <v>6.5000000000000002E-2</v>
      </c>
      <c r="F76" s="276">
        <v>42021210</v>
      </c>
    </row>
    <row r="77" spans="1:6" s="1" customFormat="1" x14ac:dyDescent="0.25">
      <c r="A77" s="237"/>
      <c r="B77" s="44">
        <v>4030</v>
      </c>
      <c r="C77" s="40" t="s">
        <v>52</v>
      </c>
      <c r="D77" s="60">
        <v>9</v>
      </c>
      <c r="E77" s="261">
        <v>6.5000000000000002E-2</v>
      </c>
      <c r="F77" s="276">
        <v>42021210</v>
      </c>
    </row>
    <row r="78" spans="1:6" s="1" customFormat="1" x14ac:dyDescent="0.25">
      <c r="A78" s="237"/>
      <c r="B78" s="44">
        <v>4033</v>
      </c>
      <c r="C78" s="40" t="s">
        <v>53</v>
      </c>
      <c r="D78" s="60">
        <v>12</v>
      </c>
      <c r="E78" s="261">
        <v>6.5000000000000002E-2</v>
      </c>
      <c r="F78" s="276">
        <v>42021210</v>
      </c>
    </row>
    <row r="79" spans="1:6" s="1" customFormat="1" x14ac:dyDescent="0.25">
      <c r="A79" s="237"/>
      <c r="B79" s="44">
        <v>4035</v>
      </c>
      <c r="C79" s="40" t="s">
        <v>54</v>
      </c>
      <c r="D79" s="60">
        <v>9</v>
      </c>
      <c r="E79" s="261">
        <v>6.5000000000000002E-2</v>
      </c>
      <c r="F79" s="276">
        <v>42021210</v>
      </c>
    </row>
    <row r="80" spans="1:6" x14ac:dyDescent="0.25">
      <c r="A80" s="237"/>
      <c r="B80" s="44">
        <v>4037</v>
      </c>
      <c r="C80" s="40" t="s">
        <v>55</v>
      </c>
      <c r="D80" s="60">
        <v>12</v>
      </c>
      <c r="E80" s="261">
        <v>6.5000000000000002E-2</v>
      </c>
      <c r="F80" s="276">
        <v>42021210</v>
      </c>
    </row>
    <row r="81" spans="1:6" x14ac:dyDescent="0.25">
      <c r="A81" s="237"/>
      <c r="B81" s="44">
        <v>4038</v>
      </c>
      <c r="C81" s="40" t="s">
        <v>56</v>
      </c>
      <c r="D81" s="60">
        <v>12</v>
      </c>
      <c r="E81" s="261">
        <v>6.5000000000000002E-2</v>
      </c>
      <c r="F81" s="276">
        <v>42021210</v>
      </c>
    </row>
    <row r="82" spans="1:6" x14ac:dyDescent="0.25">
      <c r="A82" s="237"/>
      <c r="B82" s="44">
        <v>4039</v>
      </c>
      <c r="C82" s="40" t="s">
        <v>57</v>
      </c>
      <c r="D82" s="60">
        <v>12</v>
      </c>
      <c r="E82" s="261">
        <v>6.5000000000000002E-2</v>
      </c>
      <c r="F82" s="276">
        <v>42021210</v>
      </c>
    </row>
    <row r="83" spans="1:6" x14ac:dyDescent="0.25">
      <c r="A83" s="237"/>
      <c r="B83" s="44">
        <v>4042</v>
      </c>
      <c r="C83" s="40" t="s">
        <v>58</v>
      </c>
      <c r="D83" s="60">
        <v>6</v>
      </c>
      <c r="E83" s="261">
        <v>6.5000000000000002E-2</v>
      </c>
      <c r="F83" s="276">
        <v>42021210</v>
      </c>
    </row>
    <row r="84" spans="1:6" x14ac:dyDescent="0.25">
      <c r="A84" s="237"/>
      <c r="B84" s="44">
        <v>4043</v>
      </c>
      <c r="C84" s="40" t="s">
        <v>59</v>
      </c>
      <c r="D84" s="60">
        <v>6</v>
      </c>
      <c r="E84" s="261">
        <v>6.5000000000000002E-2</v>
      </c>
      <c r="F84" s="276">
        <v>42021210</v>
      </c>
    </row>
    <row r="85" spans="1:6" x14ac:dyDescent="0.25">
      <c r="A85" s="237"/>
      <c r="B85" s="44">
        <v>4044</v>
      </c>
      <c r="C85" s="40" t="s">
        <v>60</v>
      </c>
      <c r="D85" s="60">
        <v>6</v>
      </c>
      <c r="E85" s="261">
        <v>6.5000000000000002E-2</v>
      </c>
      <c r="F85" s="276">
        <v>42021210</v>
      </c>
    </row>
    <row r="86" spans="1:6" x14ac:dyDescent="0.25">
      <c r="A86" s="237"/>
      <c r="B86" s="44">
        <v>4045</v>
      </c>
      <c r="C86" s="40" t="s">
        <v>61</v>
      </c>
      <c r="D86" s="60">
        <v>6</v>
      </c>
      <c r="E86" s="261">
        <v>6.5000000000000002E-2</v>
      </c>
      <c r="F86" s="276">
        <v>42021210</v>
      </c>
    </row>
    <row r="87" spans="1:6" x14ac:dyDescent="0.25">
      <c r="A87" s="237"/>
      <c r="B87" s="44">
        <v>4046</v>
      </c>
      <c r="C87" s="40" t="s">
        <v>62</v>
      </c>
      <c r="D87" s="60">
        <v>12</v>
      </c>
      <c r="E87" s="261">
        <v>6.5000000000000002E-2</v>
      </c>
      <c r="F87" s="276">
        <v>42021210</v>
      </c>
    </row>
    <row r="88" spans="1:6" x14ac:dyDescent="0.25">
      <c r="A88" s="237"/>
      <c r="B88" s="44">
        <v>4047</v>
      </c>
      <c r="C88" s="40" t="s">
        <v>63</v>
      </c>
      <c r="D88" s="60">
        <v>12</v>
      </c>
      <c r="E88" s="261">
        <v>6.5000000000000002E-2</v>
      </c>
      <c r="F88" s="276">
        <v>42021210</v>
      </c>
    </row>
    <row r="89" spans="1:6" x14ac:dyDescent="0.25">
      <c r="A89" s="237"/>
      <c r="B89" s="44">
        <v>4048</v>
      </c>
      <c r="C89" s="40" t="s">
        <v>160</v>
      </c>
      <c r="D89" s="60">
        <v>12</v>
      </c>
      <c r="E89" s="261">
        <v>6.5000000000000002E-2</v>
      </c>
      <c r="F89" s="276">
        <v>42021210</v>
      </c>
    </row>
    <row r="90" spans="1:6" x14ac:dyDescent="0.25">
      <c r="A90" s="237"/>
      <c r="B90" s="44">
        <v>4049</v>
      </c>
      <c r="C90" s="40" t="s">
        <v>64</v>
      </c>
      <c r="D90" s="60">
        <v>12</v>
      </c>
      <c r="E90" s="261">
        <v>6.5000000000000002E-2</v>
      </c>
      <c r="F90" s="276">
        <v>42021210</v>
      </c>
    </row>
    <row r="91" spans="1:6" x14ac:dyDescent="0.25">
      <c r="A91" s="237"/>
      <c r="B91" s="44">
        <v>4050</v>
      </c>
      <c r="C91" s="40" t="s">
        <v>65</v>
      </c>
      <c r="D91" s="60">
        <v>12</v>
      </c>
      <c r="E91" s="261">
        <v>6.5000000000000002E-2</v>
      </c>
      <c r="F91" s="276">
        <v>42021210</v>
      </c>
    </row>
    <row r="92" spans="1:6" x14ac:dyDescent="0.25">
      <c r="A92" s="237"/>
      <c r="B92" s="44">
        <v>4051</v>
      </c>
      <c r="C92" s="40" t="s">
        <v>66</v>
      </c>
      <c r="D92" s="60">
        <v>12</v>
      </c>
      <c r="E92" s="261">
        <v>6.5000000000000002E-2</v>
      </c>
      <c r="F92" s="276">
        <v>42021210</v>
      </c>
    </row>
    <row r="93" spans="1:6" x14ac:dyDescent="0.25">
      <c r="A93" s="237"/>
      <c r="B93" s="44">
        <v>4052</v>
      </c>
      <c r="C93" s="40" t="s">
        <v>154</v>
      </c>
      <c r="D93" s="60">
        <v>12</v>
      </c>
      <c r="E93" s="261">
        <v>6.5000000000000002E-2</v>
      </c>
      <c r="F93" s="276">
        <v>42021210</v>
      </c>
    </row>
    <row r="94" spans="1:6" x14ac:dyDescent="0.25">
      <c r="A94" s="237"/>
      <c r="B94" s="44">
        <v>4054</v>
      </c>
      <c r="C94" s="40" t="s">
        <v>67</v>
      </c>
      <c r="D94" s="60">
        <v>12</v>
      </c>
      <c r="E94" s="261">
        <v>6.5000000000000002E-2</v>
      </c>
      <c r="F94" s="276">
        <v>42021210</v>
      </c>
    </row>
    <row r="95" spans="1:6" x14ac:dyDescent="0.25">
      <c r="A95" s="237"/>
      <c r="B95" s="44">
        <v>4055</v>
      </c>
      <c r="C95" s="40" t="s">
        <v>68</v>
      </c>
      <c r="D95" s="60">
        <v>12</v>
      </c>
      <c r="E95" s="261">
        <v>6.5000000000000002E-2</v>
      </c>
      <c r="F95" s="276">
        <v>42021210</v>
      </c>
    </row>
    <row r="96" spans="1:6" x14ac:dyDescent="0.25">
      <c r="A96" s="237"/>
      <c r="B96" s="44">
        <v>4056</v>
      </c>
      <c r="C96" s="40" t="s">
        <v>69</v>
      </c>
      <c r="D96" s="60">
        <v>24</v>
      </c>
      <c r="E96" s="264">
        <v>3.2500000000000001E-2</v>
      </c>
      <c r="F96" s="276">
        <v>39259090</v>
      </c>
    </row>
    <row r="97" spans="1:6" x14ac:dyDescent="0.25">
      <c r="A97" s="237"/>
      <c r="B97" s="44">
        <v>4057</v>
      </c>
      <c r="C97" s="40" t="s">
        <v>70</v>
      </c>
      <c r="D97" s="60">
        <v>12</v>
      </c>
      <c r="E97" s="261">
        <v>6.5000000000000002E-2</v>
      </c>
      <c r="F97" s="276">
        <v>42021210</v>
      </c>
    </row>
    <row r="98" spans="1:6" x14ac:dyDescent="0.25">
      <c r="A98" s="237"/>
      <c r="B98" s="44">
        <v>4058</v>
      </c>
      <c r="C98" s="40" t="s">
        <v>88</v>
      </c>
      <c r="D98" s="60">
        <v>12</v>
      </c>
      <c r="E98" s="261">
        <v>6.5000000000000002E-2</v>
      </c>
      <c r="F98" s="276">
        <v>42021210</v>
      </c>
    </row>
    <row r="99" spans="1:6" x14ac:dyDescent="0.25">
      <c r="A99" s="237"/>
      <c r="B99" s="44">
        <v>4059</v>
      </c>
      <c r="C99" s="40" t="s">
        <v>81</v>
      </c>
      <c r="D99" s="60">
        <v>24</v>
      </c>
      <c r="E99" s="264">
        <v>3.2500000000000001E-2</v>
      </c>
      <c r="F99" s="276">
        <v>39259090</v>
      </c>
    </row>
    <row r="100" spans="1:6" x14ac:dyDescent="0.25">
      <c r="A100" s="237"/>
      <c r="B100" s="44">
        <v>4060</v>
      </c>
      <c r="C100" s="40" t="s">
        <v>89</v>
      </c>
      <c r="D100" s="60">
        <v>24</v>
      </c>
      <c r="E100" s="264">
        <v>3.2500000000000001E-2</v>
      </c>
      <c r="F100" s="276">
        <v>39259090</v>
      </c>
    </row>
    <row r="101" spans="1:6" x14ac:dyDescent="0.25">
      <c r="A101" s="237"/>
      <c r="B101" s="44">
        <v>4061</v>
      </c>
      <c r="C101" s="40" t="s">
        <v>90</v>
      </c>
      <c r="D101" s="60">
        <v>12</v>
      </c>
      <c r="E101" s="264">
        <v>3.2500000000000001E-2</v>
      </c>
      <c r="F101" s="276">
        <v>39259090</v>
      </c>
    </row>
    <row r="102" spans="1:6" x14ac:dyDescent="0.25">
      <c r="A102" s="237"/>
      <c r="B102" s="44">
        <v>4063</v>
      </c>
      <c r="C102" s="40" t="s">
        <v>161</v>
      </c>
      <c r="D102" s="60">
        <v>12</v>
      </c>
      <c r="E102" s="261">
        <v>6.5000000000000002E-2</v>
      </c>
      <c r="F102" s="276">
        <v>42021210</v>
      </c>
    </row>
    <row r="103" spans="1:6" x14ac:dyDescent="0.25">
      <c r="A103" s="237"/>
      <c r="B103" s="44">
        <v>4065</v>
      </c>
      <c r="C103" s="40" t="s">
        <v>157</v>
      </c>
      <c r="D103" s="60">
        <v>12</v>
      </c>
      <c r="E103" s="261">
        <v>6.5000000000000002E-2</v>
      </c>
      <c r="F103" s="276">
        <v>42021210</v>
      </c>
    </row>
    <row r="104" spans="1:6" x14ac:dyDescent="0.25">
      <c r="A104" s="237"/>
      <c r="B104" s="44">
        <v>4066</v>
      </c>
      <c r="C104" s="40" t="s">
        <v>155</v>
      </c>
      <c r="D104" s="60">
        <v>12</v>
      </c>
      <c r="E104" s="261">
        <v>6.5000000000000002E-2</v>
      </c>
      <c r="F104" s="276">
        <v>42021210</v>
      </c>
    </row>
    <row r="105" spans="1:6" x14ac:dyDescent="0.25">
      <c r="A105" s="237"/>
      <c r="B105" s="44">
        <v>4067</v>
      </c>
      <c r="C105" s="40" t="s">
        <v>156</v>
      </c>
      <c r="D105" s="60">
        <v>12</v>
      </c>
      <c r="E105" s="261">
        <v>6.5000000000000002E-2</v>
      </c>
      <c r="F105" s="276">
        <v>42021210</v>
      </c>
    </row>
    <row r="106" spans="1:6" x14ac:dyDescent="0.25">
      <c r="A106" s="237"/>
      <c r="B106" s="44">
        <v>4068</v>
      </c>
      <c r="C106" s="40" t="s">
        <v>159</v>
      </c>
      <c r="D106" s="60">
        <v>12</v>
      </c>
      <c r="E106" s="261">
        <v>6.5000000000000002E-2</v>
      </c>
      <c r="F106" s="276">
        <v>42021210</v>
      </c>
    </row>
    <row r="107" spans="1:6" x14ac:dyDescent="0.25">
      <c r="A107" s="237"/>
      <c r="B107" s="44">
        <v>4069</v>
      </c>
      <c r="C107" s="40" t="s">
        <v>158</v>
      </c>
      <c r="D107" s="60">
        <v>12</v>
      </c>
      <c r="E107" s="261">
        <v>6.5000000000000002E-2</v>
      </c>
      <c r="F107" s="276">
        <v>42021210</v>
      </c>
    </row>
    <row r="108" spans="1:6" x14ac:dyDescent="0.25">
      <c r="A108" s="237"/>
      <c r="B108" s="44">
        <v>4070</v>
      </c>
      <c r="C108" s="281" t="s">
        <v>185</v>
      </c>
      <c r="D108" s="60"/>
      <c r="E108" s="261">
        <v>6.5000000000000002E-2</v>
      </c>
      <c r="F108" s="276">
        <v>42021210</v>
      </c>
    </row>
    <row r="109" spans="1:6" x14ac:dyDescent="0.25">
      <c r="A109" s="237"/>
      <c r="B109" s="44">
        <v>4071</v>
      </c>
      <c r="C109" s="281" t="s">
        <v>186</v>
      </c>
      <c r="D109" s="60"/>
      <c r="E109" s="261">
        <v>6.5000000000000002E-2</v>
      </c>
      <c r="F109" s="276">
        <v>42021210</v>
      </c>
    </row>
    <row r="110" spans="1:6" x14ac:dyDescent="0.25">
      <c r="A110" s="237"/>
      <c r="B110" s="44">
        <v>6007</v>
      </c>
      <c r="C110" s="40" t="s">
        <v>71</v>
      </c>
      <c r="D110" s="60">
        <v>24</v>
      </c>
      <c r="E110" s="261">
        <v>6.5000000000000002E-2</v>
      </c>
      <c r="F110" s="276">
        <v>42021210</v>
      </c>
    </row>
    <row r="111" spans="1:6" x14ac:dyDescent="0.25">
      <c r="A111" s="237"/>
      <c r="B111" s="44">
        <v>6009</v>
      </c>
      <c r="C111" s="40" t="s">
        <v>72</v>
      </c>
      <c r="D111" s="60">
        <v>12</v>
      </c>
      <c r="E111" s="261">
        <v>6.5000000000000002E-2</v>
      </c>
      <c r="F111" s="276">
        <v>42021210</v>
      </c>
    </row>
    <row r="112" spans="1:6" ht="15.75" thickBot="1" x14ac:dyDescent="0.3">
      <c r="A112" s="238"/>
      <c r="B112" s="45">
        <v>6011</v>
      </c>
      <c r="C112" s="42" t="s">
        <v>73</v>
      </c>
      <c r="D112" s="61">
        <v>24</v>
      </c>
      <c r="E112" s="262">
        <v>6.5000000000000002E-2</v>
      </c>
      <c r="F112" s="277">
        <v>42021210</v>
      </c>
    </row>
    <row r="113" spans="1:6" ht="15" customHeight="1" x14ac:dyDescent="0.25">
      <c r="A113" s="229" t="s">
        <v>11</v>
      </c>
      <c r="B113" s="43">
        <v>8001</v>
      </c>
      <c r="C113" s="278" t="s">
        <v>74</v>
      </c>
      <c r="D113" s="279">
        <v>9</v>
      </c>
      <c r="E113" s="260">
        <v>6.5000000000000002E-2</v>
      </c>
      <c r="F113" s="274">
        <v>42021210</v>
      </c>
    </row>
    <row r="114" spans="1:6" x14ac:dyDescent="0.25">
      <c r="A114" s="229"/>
      <c r="B114" s="44">
        <v>8002</v>
      </c>
      <c r="C114" s="47" t="s">
        <v>75</v>
      </c>
      <c r="D114" s="64">
        <v>6</v>
      </c>
      <c r="E114" s="261">
        <v>6.5000000000000002E-2</v>
      </c>
      <c r="F114" s="276">
        <v>42021210</v>
      </c>
    </row>
    <row r="115" spans="1:6" x14ac:dyDescent="0.25">
      <c r="A115" s="229"/>
      <c r="B115" s="44">
        <v>8003</v>
      </c>
      <c r="C115" s="47" t="s">
        <v>76</v>
      </c>
      <c r="D115" s="63">
        <v>6</v>
      </c>
      <c r="E115" s="261">
        <v>6.5000000000000002E-2</v>
      </c>
      <c r="F115" s="276">
        <v>42021210</v>
      </c>
    </row>
    <row r="116" spans="1:6" x14ac:dyDescent="0.25">
      <c r="A116" s="229"/>
      <c r="B116" s="44">
        <v>8004</v>
      </c>
      <c r="C116" s="47" t="s">
        <v>77</v>
      </c>
      <c r="D116" s="63">
        <v>12</v>
      </c>
      <c r="E116" s="261">
        <v>6.5000000000000002E-2</v>
      </c>
      <c r="F116" s="276">
        <v>42021210</v>
      </c>
    </row>
    <row r="117" spans="1:6" s="1" customFormat="1" x14ac:dyDescent="0.25">
      <c r="A117" s="229"/>
      <c r="B117" s="44">
        <v>8011</v>
      </c>
      <c r="C117" s="47" t="s">
        <v>78</v>
      </c>
      <c r="D117" s="63">
        <v>12</v>
      </c>
      <c r="E117" s="261">
        <v>6.5000000000000002E-2</v>
      </c>
      <c r="F117" s="276">
        <v>42021210</v>
      </c>
    </row>
    <row r="118" spans="1:6" s="1" customFormat="1" x14ac:dyDescent="0.25">
      <c r="A118" s="229"/>
      <c r="B118" s="44">
        <v>8012</v>
      </c>
      <c r="C118" s="47" t="s">
        <v>91</v>
      </c>
      <c r="D118" s="63">
        <v>12</v>
      </c>
      <c r="E118" s="261">
        <v>6.5000000000000002E-2</v>
      </c>
      <c r="F118" s="276">
        <v>42021210</v>
      </c>
    </row>
    <row r="119" spans="1:6" x14ac:dyDescent="0.25">
      <c r="A119" s="229"/>
      <c r="B119" s="44">
        <v>8013</v>
      </c>
      <c r="C119" s="47" t="s">
        <v>145</v>
      </c>
      <c r="D119" s="63">
        <v>12</v>
      </c>
      <c r="E119" s="266">
        <v>6.5000000000000002E-2</v>
      </c>
      <c r="F119" s="276">
        <v>42021210</v>
      </c>
    </row>
    <row r="120" spans="1:6" ht="15.75" thickBot="1" x14ac:dyDescent="0.3">
      <c r="A120" s="239"/>
      <c r="B120" s="52">
        <v>8014</v>
      </c>
      <c r="C120" s="288" t="s">
        <v>187</v>
      </c>
      <c r="D120" s="65"/>
      <c r="E120" s="267">
        <v>6.5000000000000002E-2</v>
      </c>
      <c r="F120" s="277">
        <v>42021210</v>
      </c>
    </row>
    <row r="121" spans="1:6" x14ac:dyDescent="0.25">
      <c r="A121" s="11"/>
      <c r="B121" s="12"/>
      <c r="C121" s="13"/>
      <c r="D121" s="12"/>
      <c r="E121" s="14"/>
    </row>
  </sheetData>
  <sortState ref="B64:F66">
    <sortCondition ref="B64"/>
  </sortState>
  <mergeCells count="6">
    <mergeCell ref="A4:A18"/>
    <mergeCell ref="A19:A53"/>
    <mergeCell ref="A54:A66"/>
    <mergeCell ref="A67:A112"/>
    <mergeCell ref="A113:A120"/>
    <mergeCell ref="C1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workbookViewId="0">
      <selection activeCell="C2" sqref="C2:E2"/>
    </sheetView>
  </sheetViews>
  <sheetFormatPr defaultRowHeight="15" x14ac:dyDescent="0.25"/>
  <cols>
    <col min="1" max="1" width="5.42578125" style="1" customWidth="1"/>
    <col min="2" max="2" width="7.140625" style="1" customWidth="1"/>
    <col min="3" max="3" width="47" style="1" customWidth="1"/>
    <col min="4" max="4" width="5.7109375" style="1" bestFit="1" customWidth="1"/>
    <col min="5" max="5" width="5.42578125" style="1" bestFit="1" customWidth="1"/>
    <col min="6" max="12" width="4.85546875" style="1" bestFit="1" customWidth="1"/>
    <col min="13" max="16384" width="9.140625" style="1"/>
  </cols>
  <sheetData>
    <row r="1" spans="1:12" x14ac:dyDescent="0.25">
      <c r="A1" s="2"/>
      <c r="B1" s="3"/>
      <c r="C1" s="218" t="s">
        <v>146</v>
      </c>
      <c r="D1" s="219"/>
      <c r="E1" s="220"/>
      <c r="F1" s="224" t="s">
        <v>82</v>
      </c>
      <c r="G1" s="224"/>
      <c r="H1" s="214" t="s">
        <v>12</v>
      </c>
      <c r="I1" s="215"/>
      <c r="J1" s="208" t="s">
        <v>83</v>
      </c>
      <c r="K1" s="209"/>
      <c r="L1" s="210"/>
    </row>
    <row r="2" spans="1:12" ht="15.75" thickBot="1" x14ac:dyDescent="0.3">
      <c r="A2" s="4"/>
      <c r="B2" s="5"/>
      <c r="C2" s="221" t="s">
        <v>121</v>
      </c>
      <c r="D2" s="222"/>
      <c r="E2" s="223"/>
      <c r="F2" s="225"/>
      <c r="G2" s="225"/>
      <c r="H2" s="216" t="s">
        <v>13</v>
      </c>
      <c r="I2" s="217"/>
      <c r="J2" s="211"/>
      <c r="K2" s="212"/>
      <c r="L2" s="213"/>
    </row>
    <row r="3" spans="1:12" ht="23.25" thickBot="1" x14ac:dyDescent="0.3">
      <c r="A3" s="75" t="s">
        <v>80</v>
      </c>
      <c r="B3" s="76" t="s">
        <v>0</v>
      </c>
      <c r="C3" s="49" t="s">
        <v>14</v>
      </c>
      <c r="D3" s="58" t="s">
        <v>79</v>
      </c>
      <c r="E3" s="66" t="s">
        <v>1</v>
      </c>
      <c r="F3" s="77" t="s">
        <v>84</v>
      </c>
      <c r="G3" s="78" t="s">
        <v>85</v>
      </c>
      <c r="H3" s="79" t="s">
        <v>84</v>
      </c>
      <c r="I3" s="80" t="s">
        <v>85</v>
      </c>
      <c r="J3" s="81">
        <v>100</v>
      </c>
      <c r="K3" s="82">
        <v>50</v>
      </c>
      <c r="L3" s="83">
        <v>25</v>
      </c>
    </row>
    <row r="4" spans="1:12" ht="15" customHeight="1" x14ac:dyDescent="0.25">
      <c r="A4" s="228" t="s">
        <v>7</v>
      </c>
      <c r="B4" s="43" t="s">
        <v>2</v>
      </c>
      <c r="C4" s="46" t="s">
        <v>162</v>
      </c>
      <c r="D4" s="59">
        <v>60</v>
      </c>
      <c r="E4" s="67">
        <v>6.5000000000000002E-2</v>
      </c>
      <c r="F4" s="29"/>
      <c r="G4" s="29"/>
      <c r="H4" s="35">
        <f>F4/1.09</f>
        <v>0</v>
      </c>
      <c r="I4" s="35">
        <f>G4/1.09</f>
        <v>0</v>
      </c>
      <c r="J4" s="38"/>
      <c r="K4" s="50">
        <f>J4/1.19</f>
        <v>0</v>
      </c>
      <c r="L4" s="51">
        <f>J4/1.29</f>
        <v>0</v>
      </c>
    </row>
    <row r="5" spans="1:12" x14ac:dyDescent="0.25">
      <c r="A5" s="229"/>
      <c r="B5" s="44" t="s">
        <v>3</v>
      </c>
      <c r="C5" s="41" t="s">
        <v>164</v>
      </c>
      <c r="D5" s="60">
        <v>12</v>
      </c>
      <c r="E5" s="68">
        <v>6.5000000000000002E-2</v>
      </c>
      <c r="F5" s="30"/>
      <c r="G5" s="30"/>
      <c r="H5" s="34">
        <f t="shared" ref="H5:H71" si="0">F5/1.09</f>
        <v>0</v>
      </c>
      <c r="I5" s="34">
        <f t="shared" ref="I5:I71" si="1">G5/1.09</f>
        <v>0</v>
      </c>
      <c r="J5" s="39"/>
      <c r="K5" s="36">
        <f t="shared" ref="K5:K71" si="2">J5/1.19</f>
        <v>0</v>
      </c>
      <c r="L5" s="37">
        <f t="shared" ref="L5:L71" si="3">J5/1.29</f>
        <v>0</v>
      </c>
    </row>
    <row r="6" spans="1:12" x14ac:dyDescent="0.25">
      <c r="A6" s="229"/>
      <c r="B6" s="44" t="s">
        <v>4</v>
      </c>
      <c r="C6" s="41" t="s">
        <v>17</v>
      </c>
      <c r="D6" s="60">
        <v>60</v>
      </c>
      <c r="E6" s="68">
        <v>6.5000000000000002E-2</v>
      </c>
      <c r="F6" s="30"/>
      <c r="G6" s="30"/>
      <c r="H6" s="34">
        <f t="shared" si="0"/>
        <v>0</v>
      </c>
      <c r="I6" s="34">
        <f t="shared" si="1"/>
        <v>0</v>
      </c>
      <c r="J6" s="39"/>
      <c r="K6" s="36">
        <f t="shared" si="2"/>
        <v>0</v>
      </c>
      <c r="L6" s="37">
        <f t="shared" si="3"/>
        <v>0</v>
      </c>
    </row>
    <row r="7" spans="1:12" x14ac:dyDescent="0.25">
      <c r="A7" s="229"/>
      <c r="B7" s="44" t="s">
        <v>5</v>
      </c>
      <c r="C7" s="41" t="s">
        <v>163</v>
      </c>
      <c r="D7" s="60">
        <v>12</v>
      </c>
      <c r="E7" s="68">
        <v>6.5000000000000002E-2</v>
      </c>
      <c r="F7" s="30"/>
      <c r="G7" s="30"/>
      <c r="H7" s="34">
        <f t="shared" si="0"/>
        <v>0</v>
      </c>
      <c r="I7" s="34">
        <f>G7/1.09</f>
        <v>0</v>
      </c>
      <c r="J7" s="39"/>
      <c r="K7" s="36">
        <f t="shared" si="2"/>
        <v>0</v>
      </c>
      <c r="L7" s="37">
        <f t="shared" si="3"/>
        <v>0</v>
      </c>
    </row>
    <row r="8" spans="1:12" x14ac:dyDescent="0.25">
      <c r="A8" s="229"/>
      <c r="B8" s="44" t="s">
        <v>133</v>
      </c>
      <c r="C8" s="41" t="s">
        <v>165</v>
      </c>
      <c r="D8" s="60">
        <v>5</v>
      </c>
      <c r="E8" s="68">
        <v>6.5000000000000002E-2</v>
      </c>
      <c r="F8" s="30"/>
      <c r="G8" s="30"/>
      <c r="H8" s="34">
        <f t="shared" si="0"/>
        <v>0</v>
      </c>
      <c r="I8" s="34">
        <f>G8/1.09</f>
        <v>0</v>
      </c>
      <c r="J8" s="39"/>
      <c r="K8" s="36">
        <f t="shared" si="2"/>
        <v>0</v>
      </c>
      <c r="L8" s="37">
        <f t="shared" si="3"/>
        <v>0</v>
      </c>
    </row>
    <row r="9" spans="1:12" x14ac:dyDescent="0.25">
      <c r="A9" s="229"/>
      <c r="B9" s="44">
        <v>1010</v>
      </c>
      <c r="C9" s="41" t="s">
        <v>19</v>
      </c>
      <c r="D9" s="60">
        <v>12</v>
      </c>
      <c r="E9" s="68">
        <v>6.5000000000000002E-2</v>
      </c>
      <c r="F9" s="30"/>
      <c r="G9" s="30"/>
      <c r="H9" s="34">
        <f t="shared" si="0"/>
        <v>0</v>
      </c>
      <c r="I9" s="34">
        <f t="shared" si="1"/>
        <v>0</v>
      </c>
      <c r="J9" s="39"/>
      <c r="K9" s="36">
        <f t="shared" si="2"/>
        <v>0</v>
      </c>
      <c r="L9" s="37">
        <f t="shared" si="3"/>
        <v>0</v>
      </c>
    </row>
    <row r="10" spans="1:12" x14ac:dyDescent="0.25">
      <c r="A10" s="229"/>
      <c r="B10" s="44">
        <v>1011</v>
      </c>
      <c r="C10" s="41" t="s">
        <v>20</v>
      </c>
      <c r="D10" s="60">
        <v>12</v>
      </c>
      <c r="E10" s="68">
        <v>6.5000000000000002E-2</v>
      </c>
      <c r="F10" s="30"/>
      <c r="G10" s="30"/>
      <c r="H10" s="34">
        <f t="shared" si="0"/>
        <v>0</v>
      </c>
      <c r="I10" s="34">
        <f t="shared" si="1"/>
        <v>0</v>
      </c>
      <c r="J10" s="39"/>
      <c r="K10" s="36">
        <f t="shared" si="2"/>
        <v>0</v>
      </c>
      <c r="L10" s="37">
        <f t="shared" si="3"/>
        <v>0</v>
      </c>
    </row>
    <row r="11" spans="1:12" x14ac:dyDescent="0.25">
      <c r="A11" s="229"/>
      <c r="B11" s="44">
        <v>1012</v>
      </c>
      <c r="C11" s="41" t="s">
        <v>21</v>
      </c>
      <c r="D11" s="60">
        <v>12</v>
      </c>
      <c r="E11" s="68">
        <v>6.5000000000000002E-2</v>
      </c>
      <c r="F11" s="30"/>
      <c r="G11" s="30"/>
      <c r="H11" s="34">
        <f t="shared" si="0"/>
        <v>0</v>
      </c>
      <c r="I11" s="34">
        <f t="shared" si="1"/>
        <v>0</v>
      </c>
      <c r="J11" s="39"/>
      <c r="K11" s="36">
        <f t="shared" si="2"/>
        <v>0</v>
      </c>
      <c r="L11" s="37">
        <f t="shared" si="3"/>
        <v>0</v>
      </c>
    </row>
    <row r="12" spans="1:12" x14ac:dyDescent="0.25">
      <c r="A12" s="229"/>
      <c r="B12" s="44">
        <v>1013</v>
      </c>
      <c r="C12" s="41" t="s">
        <v>22</v>
      </c>
      <c r="D12" s="60">
        <v>12</v>
      </c>
      <c r="E12" s="68">
        <v>6.5000000000000002E-2</v>
      </c>
      <c r="F12" s="30"/>
      <c r="G12" s="30"/>
      <c r="H12" s="34">
        <f t="shared" si="0"/>
        <v>0</v>
      </c>
      <c r="I12" s="34">
        <f t="shared" si="1"/>
        <v>0</v>
      </c>
      <c r="J12" s="39"/>
      <c r="K12" s="36">
        <f t="shared" si="2"/>
        <v>0</v>
      </c>
      <c r="L12" s="37">
        <f t="shared" si="3"/>
        <v>0</v>
      </c>
    </row>
    <row r="13" spans="1:12" x14ac:dyDescent="0.25">
      <c r="A13" s="229"/>
      <c r="B13" s="44">
        <v>1023</v>
      </c>
      <c r="C13" s="41" t="s">
        <v>23</v>
      </c>
      <c r="D13" s="60">
        <v>12</v>
      </c>
      <c r="E13" s="68">
        <v>6.5000000000000002E-2</v>
      </c>
      <c r="F13" s="30"/>
      <c r="G13" s="30"/>
      <c r="H13" s="34">
        <f t="shared" si="0"/>
        <v>0</v>
      </c>
      <c r="I13" s="34">
        <f t="shared" si="1"/>
        <v>0</v>
      </c>
      <c r="J13" s="39"/>
      <c r="K13" s="36">
        <f t="shared" si="2"/>
        <v>0</v>
      </c>
      <c r="L13" s="37">
        <f t="shared" si="3"/>
        <v>0</v>
      </c>
    </row>
    <row r="14" spans="1:12" x14ac:dyDescent="0.25">
      <c r="A14" s="229"/>
      <c r="B14" s="44">
        <v>1024</v>
      </c>
      <c r="C14" s="41" t="s">
        <v>24</v>
      </c>
      <c r="D14" s="60">
        <v>12</v>
      </c>
      <c r="E14" s="68">
        <v>6.5000000000000002E-2</v>
      </c>
      <c r="F14" s="30"/>
      <c r="G14" s="30"/>
      <c r="H14" s="34">
        <f t="shared" si="0"/>
        <v>0</v>
      </c>
      <c r="I14" s="34">
        <f t="shared" si="1"/>
        <v>0</v>
      </c>
      <c r="J14" s="39"/>
      <c r="K14" s="36">
        <f t="shared" si="2"/>
        <v>0</v>
      </c>
      <c r="L14" s="37">
        <f t="shared" si="3"/>
        <v>0</v>
      </c>
    </row>
    <row r="15" spans="1:12" x14ac:dyDescent="0.25">
      <c r="A15" s="229"/>
      <c r="B15" s="44">
        <v>1025</v>
      </c>
      <c r="C15" s="41" t="s">
        <v>25</v>
      </c>
      <c r="D15" s="60">
        <v>12</v>
      </c>
      <c r="E15" s="68">
        <v>6.5000000000000002E-2</v>
      </c>
      <c r="F15" s="30"/>
      <c r="G15" s="30"/>
      <c r="H15" s="34">
        <f t="shared" si="0"/>
        <v>0</v>
      </c>
      <c r="I15" s="34">
        <f t="shared" si="1"/>
        <v>0</v>
      </c>
      <c r="J15" s="39"/>
      <c r="K15" s="36">
        <f t="shared" si="2"/>
        <v>0</v>
      </c>
      <c r="L15" s="37">
        <f t="shared" si="3"/>
        <v>0</v>
      </c>
    </row>
    <row r="16" spans="1:12" x14ac:dyDescent="0.25">
      <c r="A16" s="229"/>
      <c r="B16" s="44" t="s">
        <v>136</v>
      </c>
      <c r="C16" s="41" t="s">
        <v>137</v>
      </c>
      <c r="D16" s="60">
        <v>12</v>
      </c>
      <c r="E16" s="68">
        <v>6.5000000000000002E-2</v>
      </c>
      <c r="F16" s="30"/>
      <c r="G16" s="30"/>
      <c r="H16" s="34">
        <f t="shared" si="0"/>
        <v>0</v>
      </c>
      <c r="I16" s="34">
        <f t="shared" si="1"/>
        <v>0</v>
      </c>
      <c r="J16" s="39"/>
      <c r="K16" s="36">
        <f t="shared" si="2"/>
        <v>0</v>
      </c>
      <c r="L16" s="37">
        <f t="shared" si="3"/>
        <v>0</v>
      </c>
    </row>
    <row r="17" spans="1:12" x14ac:dyDescent="0.25">
      <c r="A17" s="229"/>
      <c r="B17" s="44" t="s">
        <v>6</v>
      </c>
      <c r="C17" s="41" t="s">
        <v>26</v>
      </c>
      <c r="D17" s="60">
        <v>12</v>
      </c>
      <c r="E17" s="68">
        <v>6.5000000000000002E-2</v>
      </c>
      <c r="F17" s="30"/>
      <c r="G17" s="30"/>
      <c r="H17" s="34">
        <f t="shared" si="0"/>
        <v>0</v>
      </c>
      <c r="I17" s="34">
        <f t="shared" si="1"/>
        <v>0</v>
      </c>
      <c r="J17" s="39"/>
      <c r="K17" s="36">
        <f t="shared" si="2"/>
        <v>0</v>
      </c>
      <c r="L17" s="37">
        <f t="shared" si="3"/>
        <v>0</v>
      </c>
    </row>
    <row r="18" spans="1:12" ht="15.75" thickBot="1" x14ac:dyDescent="0.3">
      <c r="A18" s="239"/>
      <c r="B18" s="45">
        <v>1038</v>
      </c>
      <c r="C18" s="175" t="s">
        <v>27</v>
      </c>
      <c r="D18" s="130">
        <v>24</v>
      </c>
      <c r="E18" s="131">
        <v>6.5000000000000002E-2</v>
      </c>
      <c r="F18" s="31"/>
      <c r="G18" s="31"/>
      <c r="H18" s="92">
        <f t="shared" si="0"/>
        <v>0</v>
      </c>
      <c r="I18" s="92">
        <f t="shared" si="1"/>
        <v>0</v>
      </c>
      <c r="J18" s="74"/>
      <c r="K18" s="85">
        <f t="shared" si="2"/>
        <v>0</v>
      </c>
      <c r="L18" s="84">
        <f t="shared" si="3"/>
        <v>0</v>
      </c>
    </row>
    <row r="19" spans="1:12" ht="15" customHeight="1" x14ac:dyDescent="0.25">
      <c r="A19" s="231" t="s">
        <v>8</v>
      </c>
      <c r="B19" s="125">
        <v>2100</v>
      </c>
      <c r="C19" s="126" t="s">
        <v>28</v>
      </c>
      <c r="D19" s="62">
        <v>6</v>
      </c>
      <c r="E19" s="67">
        <v>6.5000000000000002E-2</v>
      </c>
      <c r="F19" s="29"/>
      <c r="G19" s="29"/>
      <c r="H19" s="35">
        <f t="shared" si="0"/>
        <v>0</v>
      </c>
      <c r="I19" s="35">
        <f t="shared" si="1"/>
        <v>0</v>
      </c>
      <c r="J19" s="135"/>
      <c r="K19" s="50">
        <f t="shared" si="2"/>
        <v>0</v>
      </c>
      <c r="L19" s="51">
        <f t="shared" si="3"/>
        <v>0</v>
      </c>
    </row>
    <row r="20" spans="1:12" x14ac:dyDescent="0.25">
      <c r="A20" s="231"/>
      <c r="B20" s="125">
        <v>2101</v>
      </c>
      <c r="C20" s="126" t="s">
        <v>135</v>
      </c>
      <c r="D20" s="127">
        <v>6</v>
      </c>
      <c r="E20" s="128">
        <v>6.5000000000000002E-2</v>
      </c>
      <c r="F20" s="32"/>
      <c r="G20" s="30"/>
      <c r="H20" s="132">
        <f t="shared" si="0"/>
        <v>0</v>
      </c>
      <c r="I20" s="132">
        <f t="shared" si="1"/>
        <v>0</v>
      </c>
      <c r="J20" s="133"/>
      <c r="K20" s="134">
        <f t="shared" si="2"/>
        <v>0</v>
      </c>
      <c r="L20" s="136">
        <f t="shared" si="3"/>
        <v>0</v>
      </c>
    </row>
    <row r="21" spans="1:12" x14ac:dyDescent="0.25">
      <c r="A21" s="231"/>
      <c r="B21" s="125">
        <v>2102</v>
      </c>
      <c r="C21" s="126" t="s">
        <v>138</v>
      </c>
      <c r="D21" s="127">
        <v>6</v>
      </c>
      <c r="E21" s="70">
        <v>9.7500000000000003E-2</v>
      </c>
      <c r="F21" s="30"/>
      <c r="G21" s="30"/>
      <c r="H21" s="34">
        <f t="shared" si="0"/>
        <v>0</v>
      </c>
      <c r="I21" s="34">
        <f t="shared" si="1"/>
        <v>0</v>
      </c>
      <c r="J21" s="39"/>
      <c r="K21" s="36">
        <f t="shared" si="2"/>
        <v>0</v>
      </c>
      <c r="L21" s="37">
        <f t="shared" si="3"/>
        <v>0</v>
      </c>
    </row>
    <row r="22" spans="1:12" x14ac:dyDescent="0.25">
      <c r="A22" s="231"/>
      <c r="B22" s="125">
        <v>2103</v>
      </c>
      <c r="C22" s="126" t="s">
        <v>139</v>
      </c>
      <c r="D22" s="127">
        <v>6</v>
      </c>
      <c r="E22" s="70">
        <v>9.7500000000000003E-2</v>
      </c>
      <c r="F22" s="30"/>
      <c r="G22" s="30"/>
      <c r="H22" s="34">
        <f t="shared" si="0"/>
        <v>0</v>
      </c>
      <c r="I22" s="34">
        <f t="shared" si="1"/>
        <v>0</v>
      </c>
      <c r="J22" s="39"/>
      <c r="K22" s="36">
        <f t="shared" si="2"/>
        <v>0</v>
      </c>
      <c r="L22" s="37">
        <f t="shared" si="3"/>
        <v>0</v>
      </c>
    </row>
    <row r="23" spans="1:12" x14ac:dyDescent="0.25">
      <c r="A23" s="231"/>
      <c r="B23" s="125">
        <v>2104</v>
      </c>
      <c r="C23" s="126" t="s">
        <v>140</v>
      </c>
      <c r="D23" s="127">
        <v>12</v>
      </c>
      <c r="E23" s="128">
        <v>6.5000000000000002E-2</v>
      </c>
      <c r="F23" s="30"/>
      <c r="G23" s="30"/>
      <c r="H23" s="34">
        <f t="shared" si="0"/>
        <v>0</v>
      </c>
      <c r="I23" s="34">
        <f t="shared" si="1"/>
        <v>0</v>
      </c>
      <c r="J23" s="39"/>
      <c r="K23" s="36">
        <f t="shared" si="2"/>
        <v>0</v>
      </c>
      <c r="L23" s="37">
        <f t="shared" si="3"/>
        <v>0</v>
      </c>
    </row>
    <row r="24" spans="1:12" x14ac:dyDescent="0.25">
      <c r="A24" s="231"/>
      <c r="B24" s="125">
        <v>2105</v>
      </c>
      <c r="C24" s="126" t="s">
        <v>147</v>
      </c>
      <c r="D24" s="127">
        <v>6</v>
      </c>
      <c r="E24" s="70">
        <v>9.7500000000000003E-2</v>
      </c>
      <c r="F24" s="30"/>
      <c r="G24" s="30"/>
      <c r="H24" s="34">
        <f t="shared" si="0"/>
        <v>0</v>
      </c>
      <c r="I24" s="34">
        <f t="shared" si="1"/>
        <v>0</v>
      </c>
      <c r="J24" s="39"/>
      <c r="K24" s="36">
        <f t="shared" si="2"/>
        <v>0</v>
      </c>
      <c r="L24" s="37">
        <f t="shared" si="3"/>
        <v>0</v>
      </c>
    </row>
    <row r="25" spans="1:12" x14ac:dyDescent="0.25">
      <c r="A25" s="231"/>
      <c r="B25" s="125">
        <v>2106</v>
      </c>
      <c r="C25" s="126" t="s">
        <v>148</v>
      </c>
      <c r="D25" s="127">
        <v>12</v>
      </c>
      <c r="E25" s="70">
        <v>9.7500000000000003E-2</v>
      </c>
      <c r="F25" s="30"/>
      <c r="G25" s="30"/>
      <c r="H25" s="34">
        <f>F25/1.09</f>
        <v>0</v>
      </c>
      <c r="I25" s="34">
        <f t="shared" si="1"/>
        <v>0</v>
      </c>
      <c r="J25" s="39"/>
      <c r="K25" s="36">
        <f t="shared" si="2"/>
        <v>0</v>
      </c>
      <c r="L25" s="37">
        <f t="shared" si="3"/>
        <v>0</v>
      </c>
    </row>
    <row r="26" spans="1:12" x14ac:dyDescent="0.25">
      <c r="A26" s="231"/>
      <c r="B26" s="125">
        <v>2107</v>
      </c>
      <c r="C26" s="126" t="s">
        <v>149</v>
      </c>
      <c r="D26" s="127">
        <v>6</v>
      </c>
      <c r="E26" s="70">
        <v>9.7500000000000003E-2</v>
      </c>
      <c r="F26" s="30"/>
      <c r="G26" s="30"/>
      <c r="H26" s="34">
        <f t="shared" ref="H26:H27" si="4">F26/1.09</f>
        <v>0</v>
      </c>
      <c r="I26" s="34">
        <f t="shared" si="1"/>
        <v>0</v>
      </c>
      <c r="J26" s="39"/>
      <c r="K26" s="36">
        <f t="shared" si="2"/>
        <v>0</v>
      </c>
      <c r="L26" s="37">
        <f t="shared" si="3"/>
        <v>0</v>
      </c>
    </row>
    <row r="27" spans="1:12" x14ac:dyDescent="0.25">
      <c r="A27" s="231"/>
      <c r="B27" s="44">
        <v>2139</v>
      </c>
      <c r="C27" s="40" t="s">
        <v>166</v>
      </c>
      <c r="D27" s="60">
        <v>12</v>
      </c>
      <c r="E27" s="70">
        <v>9.7500000000000003E-2</v>
      </c>
      <c r="F27" s="30"/>
      <c r="G27" s="30"/>
      <c r="H27" s="34">
        <f t="shared" si="4"/>
        <v>0</v>
      </c>
      <c r="I27" s="34">
        <f t="shared" si="1"/>
        <v>0</v>
      </c>
      <c r="J27" s="39"/>
      <c r="K27" s="36">
        <f t="shared" si="2"/>
        <v>0</v>
      </c>
      <c r="L27" s="37">
        <f t="shared" si="3"/>
        <v>0</v>
      </c>
    </row>
    <row r="28" spans="1:12" x14ac:dyDescent="0.25">
      <c r="A28" s="231"/>
      <c r="B28" s="44">
        <v>2140</v>
      </c>
      <c r="C28" s="40" t="s">
        <v>167</v>
      </c>
      <c r="D28" s="60">
        <v>24</v>
      </c>
      <c r="E28" s="70">
        <v>9.7500000000000003E-2</v>
      </c>
      <c r="F28" s="30"/>
      <c r="G28" s="30"/>
      <c r="H28" s="34">
        <f t="shared" si="0"/>
        <v>0</v>
      </c>
      <c r="I28" s="34">
        <f t="shared" si="1"/>
        <v>0</v>
      </c>
      <c r="J28" s="39"/>
      <c r="K28" s="36">
        <f t="shared" si="2"/>
        <v>0</v>
      </c>
      <c r="L28" s="37">
        <f t="shared" si="3"/>
        <v>0</v>
      </c>
    </row>
    <row r="29" spans="1:12" x14ac:dyDescent="0.25">
      <c r="A29" s="231"/>
      <c r="B29" s="44">
        <v>2141</v>
      </c>
      <c r="C29" s="40" t="s">
        <v>168</v>
      </c>
      <c r="D29" s="60">
        <v>12</v>
      </c>
      <c r="E29" s="70">
        <v>9.7500000000000003E-2</v>
      </c>
      <c r="F29" s="30"/>
      <c r="G29" s="30"/>
      <c r="H29" s="34">
        <f t="shared" si="0"/>
        <v>0</v>
      </c>
      <c r="I29" s="34">
        <f t="shared" si="1"/>
        <v>0</v>
      </c>
      <c r="J29" s="39"/>
      <c r="K29" s="36">
        <f t="shared" si="2"/>
        <v>0</v>
      </c>
      <c r="L29" s="37">
        <f t="shared" si="3"/>
        <v>0</v>
      </c>
    </row>
    <row r="30" spans="1:12" x14ac:dyDescent="0.25">
      <c r="A30" s="231"/>
      <c r="B30" s="44">
        <v>2142</v>
      </c>
      <c r="C30" s="40" t="s">
        <v>169</v>
      </c>
      <c r="D30" s="60">
        <v>12</v>
      </c>
      <c r="E30" s="70">
        <v>9.7500000000000003E-2</v>
      </c>
      <c r="F30" s="30"/>
      <c r="G30" s="30"/>
      <c r="H30" s="34">
        <f t="shared" si="0"/>
        <v>0</v>
      </c>
      <c r="I30" s="34">
        <f t="shared" si="1"/>
        <v>0</v>
      </c>
      <c r="J30" s="39"/>
      <c r="K30" s="36">
        <f t="shared" si="2"/>
        <v>0</v>
      </c>
      <c r="L30" s="37">
        <f t="shared" si="3"/>
        <v>0</v>
      </c>
    </row>
    <row r="31" spans="1:12" x14ac:dyDescent="0.25">
      <c r="A31" s="231"/>
      <c r="B31" s="44">
        <v>2143</v>
      </c>
      <c r="C31" s="40" t="s">
        <v>170</v>
      </c>
      <c r="D31" s="60">
        <v>12</v>
      </c>
      <c r="E31" s="70">
        <v>9.7500000000000003E-2</v>
      </c>
      <c r="F31" s="30"/>
      <c r="G31" s="30"/>
      <c r="H31" s="34">
        <f t="shared" si="0"/>
        <v>0</v>
      </c>
      <c r="I31" s="34">
        <f t="shared" si="1"/>
        <v>0</v>
      </c>
      <c r="J31" s="39"/>
      <c r="K31" s="36">
        <f t="shared" si="2"/>
        <v>0</v>
      </c>
      <c r="L31" s="37">
        <f t="shared" si="3"/>
        <v>0</v>
      </c>
    </row>
    <row r="32" spans="1:12" x14ac:dyDescent="0.25">
      <c r="A32" s="231"/>
      <c r="B32" s="44">
        <v>2144</v>
      </c>
      <c r="C32" s="40" t="s">
        <v>171</v>
      </c>
      <c r="D32" s="60">
        <v>12</v>
      </c>
      <c r="E32" s="70">
        <v>9.7500000000000003E-2</v>
      </c>
      <c r="F32" s="30"/>
      <c r="G32" s="30"/>
      <c r="H32" s="34">
        <f t="shared" si="0"/>
        <v>0</v>
      </c>
      <c r="I32" s="34">
        <f t="shared" si="1"/>
        <v>0</v>
      </c>
      <c r="J32" s="39"/>
      <c r="K32" s="36">
        <f t="shared" si="2"/>
        <v>0</v>
      </c>
      <c r="L32" s="37">
        <f t="shared" si="3"/>
        <v>0</v>
      </c>
    </row>
    <row r="33" spans="1:12" x14ac:dyDescent="0.25">
      <c r="A33" s="231"/>
      <c r="B33" s="44">
        <v>2145</v>
      </c>
      <c r="C33" s="40" t="s">
        <v>172</v>
      </c>
      <c r="D33" s="60">
        <v>12</v>
      </c>
      <c r="E33" s="70">
        <v>9.7500000000000003E-2</v>
      </c>
      <c r="F33" s="30"/>
      <c r="G33" s="30"/>
      <c r="H33" s="34">
        <f t="shared" si="0"/>
        <v>0</v>
      </c>
      <c r="I33" s="34">
        <f t="shared" si="1"/>
        <v>0</v>
      </c>
      <c r="J33" s="39"/>
      <c r="K33" s="36">
        <f t="shared" si="2"/>
        <v>0</v>
      </c>
      <c r="L33" s="37">
        <f t="shared" si="3"/>
        <v>0</v>
      </c>
    </row>
    <row r="34" spans="1:12" x14ac:dyDescent="0.25">
      <c r="A34" s="231"/>
      <c r="B34" s="44">
        <v>2146</v>
      </c>
      <c r="C34" s="40" t="s">
        <v>173</v>
      </c>
      <c r="D34" s="60">
        <v>12</v>
      </c>
      <c r="E34" s="70">
        <v>9.7500000000000003E-2</v>
      </c>
      <c r="F34" s="30"/>
      <c r="G34" s="30"/>
      <c r="H34" s="34">
        <f t="shared" si="0"/>
        <v>0</v>
      </c>
      <c r="I34" s="34">
        <f t="shared" si="1"/>
        <v>0</v>
      </c>
      <c r="J34" s="39"/>
      <c r="K34" s="36">
        <f t="shared" si="2"/>
        <v>0</v>
      </c>
      <c r="L34" s="37">
        <f t="shared" si="3"/>
        <v>0</v>
      </c>
    </row>
    <row r="35" spans="1:12" x14ac:dyDescent="0.25">
      <c r="A35" s="231"/>
      <c r="B35" s="44">
        <v>2147</v>
      </c>
      <c r="C35" s="40" t="s">
        <v>178</v>
      </c>
      <c r="D35" s="60">
        <v>12</v>
      </c>
      <c r="E35" s="68">
        <v>6.5000000000000002E-2</v>
      </c>
      <c r="F35" s="30"/>
      <c r="G35" s="30"/>
      <c r="H35" s="34">
        <f t="shared" si="0"/>
        <v>0</v>
      </c>
      <c r="I35" s="34">
        <f t="shared" si="1"/>
        <v>0</v>
      </c>
      <c r="J35" s="39"/>
      <c r="K35" s="36">
        <f t="shared" si="2"/>
        <v>0</v>
      </c>
      <c r="L35" s="37">
        <f t="shared" si="3"/>
        <v>0</v>
      </c>
    </row>
    <row r="36" spans="1:12" x14ac:dyDescent="0.25">
      <c r="A36" s="231"/>
      <c r="B36" s="44">
        <v>2148</v>
      </c>
      <c r="C36" s="40" t="s">
        <v>174</v>
      </c>
      <c r="D36" s="60">
        <v>24</v>
      </c>
      <c r="E36" s="68">
        <v>6.5000000000000002E-2</v>
      </c>
      <c r="F36" s="30"/>
      <c r="G36" s="30"/>
      <c r="H36" s="34">
        <f t="shared" si="0"/>
        <v>0</v>
      </c>
      <c r="I36" s="34">
        <f t="shared" si="1"/>
        <v>0</v>
      </c>
      <c r="J36" s="39"/>
      <c r="K36" s="36">
        <f t="shared" si="2"/>
        <v>0</v>
      </c>
      <c r="L36" s="37">
        <f t="shared" si="3"/>
        <v>0</v>
      </c>
    </row>
    <row r="37" spans="1:12" x14ac:dyDescent="0.25">
      <c r="A37" s="231"/>
      <c r="B37" s="44">
        <v>2149</v>
      </c>
      <c r="C37" s="40" t="s">
        <v>175</v>
      </c>
      <c r="D37" s="60">
        <v>24</v>
      </c>
      <c r="E37" s="68">
        <v>6.5000000000000002E-2</v>
      </c>
      <c r="F37" s="30"/>
      <c r="G37" s="30"/>
      <c r="H37" s="34">
        <f t="shared" si="0"/>
        <v>0</v>
      </c>
      <c r="I37" s="34">
        <f t="shared" si="1"/>
        <v>0</v>
      </c>
      <c r="J37" s="39"/>
      <c r="K37" s="36">
        <f t="shared" si="2"/>
        <v>0</v>
      </c>
      <c r="L37" s="37">
        <f t="shared" si="3"/>
        <v>0</v>
      </c>
    </row>
    <row r="38" spans="1:12" x14ac:dyDescent="0.25">
      <c r="A38" s="231"/>
      <c r="B38" s="44">
        <v>2150</v>
      </c>
      <c r="C38" s="40" t="s">
        <v>176</v>
      </c>
      <c r="D38" s="60">
        <v>12</v>
      </c>
      <c r="E38" s="70">
        <v>9.7500000000000003E-2</v>
      </c>
      <c r="F38" s="30"/>
      <c r="G38" s="30"/>
      <c r="H38" s="34">
        <f t="shared" si="0"/>
        <v>0</v>
      </c>
      <c r="I38" s="34">
        <f t="shared" si="1"/>
        <v>0</v>
      </c>
      <c r="J38" s="39"/>
      <c r="K38" s="36">
        <f t="shared" si="2"/>
        <v>0</v>
      </c>
      <c r="L38" s="37">
        <f t="shared" si="3"/>
        <v>0</v>
      </c>
    </row>
    <row r="39" spans="1:12" x14ac:dyDescent="0.25">
      <c r="A39" s="231"/>
      <c r="B39" s="44">
        <v>2151</v>
      </c>
      <c r="C39" s="40" t="s">
        <v>177</v>
      </c>
      <c r="D39" s="60">
        <v>12</v>
      </c>
      <c r="E39" s="70">
        <v>6.5000000000000002E-2</v>
      </c>
      <c r="F39" s="30"/>
      <c r="G39" s="30"/>
      <c r="H39" s="34">
        <f t="shared" si="0"/>
        <v>0</v>
      </c>
      <c r="I39" s="34">
        <f t="shared" si="1"/>
        <v>0</v>
      </c>
      <c r="J39" s="39"/>
      <c r="K39" s="36">
        <f t="shared" si="2"/>
        <v>0</v>
      </c>
      <c r="L39" s="37">
        <f t="shared" si="3"/>
        <v>0</v>
      </c>
    </row>
    <row r="40" spans="1:12" x14ac:dyDescent="0.25">
      <c r="A40" s="231"/>
      <c r="B40" s="44">
        <v>2152</v>
      </c>
      <c r="C40" s="40" t="s">
        <v>150</v>
      </c>
      <c r="D40" s="60">
        <v>12</v>
      </c>
      <c r="E40" s="70"/>
      <c r="F40" s="30"/>
      <c r="G40" s="30"/>
      <c r="H40" s="34">
        <f t="shared" si="0"/>
        <v>0</v>
      </c>
      <c r="I40" s="34">
        <f t="shared" si="1"/>
        <v>0</v>
      </c>
      <c r="J40" s="39"/>
      <c r="K40" s="36">
        <f t="shared" si="2"/>
        <v>0</v>
      </c>
      <c r="L40" s="37">
        <f t="shared" si="3"/>
        <v>0</v>
      </c>
    </row>
    <row r="41" spans="1:12" x14ac:dyDescent="0.25">
      <c r="A41" s="231"/>
      <c r="B41" s="44">
        <v>2513</v>
      </c>
      <c r="C41" s="40" t="s">
        <v>29</v>
      </c>
      <c r="D41" s="60">
        <v>12</v>
      </c>
      <c r="E41" s="68">
        <v>6.5000000000000002E-2</v>
      </c>
      <c r="F41" s="30"/>
      <c r="G41" s="30"/>
      <c r="H41" s="34">
        <f t="shared" si="0"/>
        <v>0</v>
      </c>
      <c r="I41" s="34">
        <f t="shared" si="1"/>
        <v>0</v>
      </c>
      <c r="J41" s="39"/>
      <c r="K41" s="36">
        <f t="shared" si="2"/>
        <v>0</v>
      </c>
      <c r="L41" s="37">
        <f t="shared" si="3"/>
        <v>0</v>
      </c>
    </row>
    <row r="42" spans="1:12" x14ac:dyDescent="0.25">
      <c r="A42" s="231"/>
      <c r="B42" s="44">
        <v>2601</v>
      </c>
      <c r="C42" s="40" t="s">
        <v>30</v>
      </c>
      <c r="D42" s="60">
        <v>12</v>
      </c>
      <c r="E42" s="70">
        <v>9.7500000000000003E-2</v>
      </c>
      <c r="F42" s="30"/>
      <c r="G42" s="30"/>
      <c r="H42" s="34">
        <f t="shared" si="0"/>
        <v>0</v>
      </c>
      <c r="I42" s="34">
        <f t="shared" si="1"/>
        <v>0</v>
      </c>
      <c r="J42" s="39"/>
      <c r="K42" s="36">
        <f t="shared" si="2"/>
        <v>0</v>
      </c>
      <c r="L42" s="37">
        <f t="shared" si="3"/>
        <v>0</v>
      </c>
    </row>
    <row r="43" spans="1:12" x14ac:dyDescent="0.25">
      <c r="A43" s="231"/>
      <c r="B43" s="44">
        <v>2602</v>
      </c>
      <c r="C43" s="40" t="s">
        <v>31</v>
      </c>
      <c r="D43" s="60">
        <v>12</v>
      </c>
      <c r="E43" s="70">
        <v>9.7500000000000003E-2</v>
      </c>
      <c r="F43" s="30"/>
      <c r="G43" s="30"/>
      <c r="H43" s="34">
        <f t="shared" si="0"/>
        <v>0</v>
      </c>
      <c r="I43" s="34">
        <f t="shared" si="1"/>
        <v>0</v>
      </c>
      <c r="J43" s="39"/>
      <c r="K43" s="36">
        <f t="shared" si="2"/>
        <v>0</v>
      </c>
      <c r="L43" s="37">
        <f t="shared" si="3"/>
        <v>0</v>
      </c>
    </row>
    <row r="44" spans="1:12" x14ac:dyDescent="0.25">
      <c r="A44" s="231"/>
      <c r="B44" s="44">
        <v>2701</v>
      </c>
      <c r="C44" s="40" t="s">
        <v>32</v>
      </c>
      <c r="D44" s="60">
        <v>12</v>
      </c>
      <c r="E44" s="70">
        <v>9.7500000000000003E-2</v>
      </c>
      <c r="F44" s="30"/>
      <c r="G44" s="30"/>
      <c r="H44" s="34">
        <f t="shared" si="0"/>
        <v>0</v>
      </c>
      <c r="I44" s="34">
        <f t="shared" si="1"/>
        <v>0</v>
      </c>
      <c r="J44" s="39"/>
      <c r="K44" s="36">
        <f t="shared" si="2"/>
        <v>0</v>
      </c>
      <c r="L44" s="37">
        <f t="shared" si="3"/>
        <v>0</v>
      </c>
    </row>
    <row r="45" spans="1:12" x14ac:dyDescent="0.25">
      <c r="A45" s="231"/>
      <c r="B45" s="44">
        <v>2702</v>
      </c>
      <c r="C45" s="40" t="s">
        <v>33</v>
      </c>
      <c r="D45" s="60">
        <v>12</v>
      </c>
      <c r="E45" s="70">
        <v>9.7500000000000003E-2</v>
      </c>
      <c r="F45" s="30"/>
      <c r="G45" s="30"/>
      <c r="H45" s="34">
        <f t="shared" si="0"/>
        <v>0</v>
      </c>
      <c r="I45" s="34">
        <f t="shared" si="1"/>
        <v>0</v>
      </c>
      <c r="J45" s="39"/>
      <c r="K45" s="36">
        <f t="shared" si="2"/>
        <v>0</v>
      </c>
      <c r="L45" s="37">
        <f t="shared" si="3"/>
        <v>0</v>
      </c>
    </row>
    <row r="46" spans="1:12" x14ac:dyDescent="0.25">
      <c r="A46" s="231"/>
      <c r="B46" s="44">
        <v>2703</v>
      </c>
      <c r="C46" s="40" t="s">
        <v>34</v>
      </c>
      <c r="D46" s="60">
        <v>12</v>
      </c>
      <c r="E46" s="70">
        <v>9.7500000000000003E-2</v>
      </c>
      <c r="F46" s="30"/>
      <c r="G46" s="30"/>
      <c r="H46" s="34">
        <f t="shared" si="0"/>
        <v>0</v>
      </c>
      <c r="I46" s="34">
        <f t="shared" si="1"/>
        <v>0</v>
      </c>
      <c r="J46" s="39"/>
      <c r="K46" s="36">
        <f t="shared" si="2"/>
        <v>0</v>
      </c>
      <c r="L46" s="37">
        <f t="shared" si="3"/>
        <v>0</v>
      </c>
    </row>
    <row r="47" spans="1:12" x14ac:dyDescent="0.25">
      <c r="A47" s="231"/>
      <c r="B47" s="44">
        <v>2750</v>
      </c>
      <c r="C47" s="40" t="s">
        <v>179</v>
      </c>
      <c r="D47" s="60">
        <v>8</v>
      </c>
      <c r="E47" s="68">
        <v>6.5000000000000002E-2</v>
      </c>
      <c r="F47" s="30"/>
      <c r="G47" s="30"/>
      <c r="H47" s="34">
        <f t="shared" si="0"/>
        <v>0</v>
      </c>
      <c r="I47" s="34">
        <f t="shared" si="1"/>
        <v>0</v>
      </c>
      <c r="J47" s="39"/>
      <c r="K47" s="36">
        <f t="shared" si="2"/>
        <v>0</v>
      </c>
      <c r="L47" s="37">
        <f t="shared" si="3"/>
        <v>0</v>
      </c>
    </row>
    <row r="48" spans="1:12" x14ac:dyDescent="0.25">
      <c r="A48" s="231"/>
      <c r="B48" s="44">
        <v>2751</v>
      </c>
      <c r="C48" s="40" t="s">
        <v>35</v>
      </c>
      <c r="D48" s="60">
        <v>12</v>
      </c>
      <c r="E48" s="70">
        <v>9.7500000000000003E-2</v>
      </c>
      <c r="F48" s="30"/>
      <c r="G48" s="30"/>
      <c r="H48" s="34">
        <f t="shared" si="0"/>
        <v>0</v>
      </c>
      <c r="I48" s="34">
        <f t="shared" si="1"/>
        <v>0</v>
      </c>
      <c r="J48" s="39"/>
      <c r="K48" s="36">
        <f t="shared" si="2"/>
        <v>0</v>
      </c>
      <c r="L48" s="37">
        <f t="shared" si="3"/>
        <v>0</v>
      </c>
    </row>
    <row r="49" spans="1:12" x14ac:dyDescent="0.25">
      <c r="A49" s="231"/>
      <c r="B49" s="44">
        <v>2752</v>
      </c>
      <c r="C49" s="40" t="s">
        <v>180</v>
      </c>
      <c r="D49" s="60">
        <v>24</v>
      </c>
      <c r="E49" s="68">
        <v>6.5000000000000002E-2</v>
      </c>
      <c r="F49" s="30"/>
      <c r="G49" s="30"/>
      <c r="H49" s="34">
        <f t="shared" ref="H49:H53" si="5">F49/1.09</f>
        <v>0</v>
      </c>
      <c r="I49" s="34">
        <f t="shared" ref="I49:I53" si="6">G49/1.09</f>
        <v>0</v>
      </c>
      <c r="J49" s="39"/>
      <c r="K49" s="36">
        <f t="shared" ref="K49:K53" si="7">J49/1.19</f>
        <v>0</v>
      </c>
      <c r="L49" s="37">
        <f t="shared" ref="L49:L53" si="8">J49/1.29</f>
        <v>0</v>
      </c>
    </row>
    <row r="50" spans="1:12" x14ac:dyDescent="0.25">
      <c r="A50" s="231"/>
      <c r="B50" s="44">
        <v>2753</v>
      </c>
      <c r="C50" s="40" t="s">
        <v>181</v>
      </c>
      <c r="D50" s="60">
        <v>12</v>
      </c>
      <c r="E50" s="68">
        <v>6.5000000000000002E-2</v>
      </c>
      <c r="F50" s="30"/>
      <c r="G50" s="30"/>
      <c r="H50" s="34">
        <f t="shared" si="5"/>
        <v>0</v>
      </c>
      <c r="I50" s="34">
        <f t="shared" si="6"/>
        <v>0</v>
      </c>
      <c r="J50" s="39"/>
      <c r="K50" s="36">
        <f t="shared" si="7"/>
        <v>0</v>
      </c>
      <c r="L50" s="37">
        <f t="shared" si="8"/>
        <v>0</v>
      </c>
    </row>
    <row r="51" spans="1:12" x14ac:dyDescent="0.25">
      <c r="A51" s="231"/>
      <c r="B51" s="44">
        <v>2754</v>
      </c>
      <c r="C51" s="40" t="s">
        <v>86</v>
      </c>
      <c r="D51" s="60">
        <v>36</v>
      </c>
      <c r="E51" s="70">
        <v>9.7500000000000003E-2</v>
      </c>
      <c r="F51" s="30"/>
      <c r="G51" s="30"/>
      <c r="H51" s="34">
        <f t="shared" si="5"/>
        <v>0</v>
      </c>
      <c r="I51" s="34">
        <f t="shared" si="6"/>
        <v>0</v>
      </c>
      <c r="J51" s="39"/>
      <c r="K51" s="36">
        <f t="shared" si="7"/>
        <v>0</v>
      </c>
      <c r="L51" s="37">
        <f t="shared" si="8"/>
        <v>0</v>
      </c>
    </row>
    <row r="52" spans="1:12" x14ac:dyDescent="0.25">
      <c r="A52" s="231"/>
      <c r="B52" s="44">
        <v>2755</v>
      </c>
      <c r="C52" s="40" t="s">
        <v>87</v>
      </c>
      <c r="D52" s="60">
        <v>12</v>
      </c>
      <c r="E52" s="70">
        <v>9.7500000000000003E-2</v>
      </c>
      <c r="F52" s="30"/>
      <c r="G52" s="30"/>
      <c r="H52" s="34">
        <f t="shared" si="5"/>
        <v>0</v>
      </c>
      <c r="I52" s="34">
        <f t="shared" si="6"/>
        <v>0</v>
      </c>
      <c r="J52" s="39"/>
      <c r="K52" s="36">
        <f t="shared" si="7"/>
        <v>0</v>
      </c>
      <c r="L52" s="37">
        <f t="shared" si="8"/>
        <v>0</v>
      </c>
    </row>
    <row r="53" spans="1:12" ht="15.75" thickBot="1" x14ac:dyDescent="0.3">
      <c r="A53" s="231"/>
      <c r="B53" s="44">
        <v>2802</v>
      </c>
      <c r="C53" s="40" t="s">
        <v>36</v>
      </c>
      <c r="D53" s="60">
        <v>6</v>
      </c>
      <c r="E53" s="71">
        <v>9.7500000000000003E-2</v>
      </c>
      <c r="F53" s="30"/>
      <c r="G53" s="30"/>
      <c r="H53" s="34">
        <f t="shared" si="5"/>
        <v>0</v>
      </c>
      <c r="I53" s="34">
        <f t="shared" si="6"/>
        <v>0</v>
      </c>
      <c r="J53" s="39"/>
      <c r="K53" s="36">
        <f t="shared" si="7"/>
        <v>0</v>
      </c>
      <c r="L53" s="37">
        <f t="shared" si="8"/>
        <v>0</v>
      </c>
    </row>
    <row r="54" spans="1:12" ht="15" customHeight="1" x14ac:dyDescent="0.25">
      <c r="A54" s="233" t="s">
        <v>9</v>
      </c>
      <c r="B54" s="54">
        <v>3901</v>
      </c>
      <c r="C54" s="56" t="s">
        <v>37</v>
      </c>
      <c r="D54" s="54">
        <v>12</v>
      </c>
      <c r="E54" s="72">
        <v>6.5000000000000002E-2</v>
      </c>
      <c r="F54" s="29"/>
      <c r="G54" s="29"/>
      <c r="H54" s="35">
        <f t="shared" si="0"/>
        <v>0</v>
      </c>
      <c r="I54" s="35">
        <f t="shared" si="1"/>
        <v>0</v>
      </c>
      <c r="J54" s="38"/>
      <c r="K54" s="50">
        <f t="shared" si="2"/>
        <v>0</v>
      </c>
      <c r="L54" s="51">
        <f t="shared" si="3"/>
        <v>0</v>
      </c>
    </row>
    <row r="55" spans="1:12" x14ac:dyDescent="0.25">
      <c r="A55" s="234"/>
      <c r="B55" s="55">
        <v>3905</v>
      </c>
      <c r="C55" s="47" t="s">
        <v>38</v>
      </c>
      <c r="D55" s="44">
        <v>24</v>
      </c>
      <c r="E55" s="68">
        <v>6.5000000000000002E-2</v>
      </c>
      <c r="F55" s="30"/>
      <c r="G55" s="30"/>
      <c r="H55" s="34">
        <f t="shared" si="0"/>
        <v>0</v>
      </c>
      <c r="I55" s="34">
        <f t="shared" si="1"/>
        <v>0</v>
      </c>
      <c r="J55" s="39"/>
      <c r="K55" s="36">
        <f t="shared" si="2"/>
        <v>0</v>
      </c>
      <c r="L55" s="37">
        <f t="shared" si="3"/>
        <v>0</v>
      </c>
    </row>
    <row r="56" spans="1:12" x14ac:dyDescent="0.25">
      <c r="A56" s="234"/>
      <c r="B56" s="55">
        <v>3907</v>
      </c>
      <c r="C56" s="57" t="s">
        <v>39</v>
      </c>
      <c r="D56" s="55">
        <v>12</v>
      </c>
      <c r="E56" s="68">
        <v>6.5000000000000002E-2</v>
      </c>
      <c r="F56" s="30"/>
      <c r="G56" s="30"/>
      <c r="H56" s="34">
        <f t="shared" si="0"/>
        <v>0</v>
      </c>
      <c r="I56" s="34">
        <f t="shared" si="1"/>
        <v>0</v>
      </c>
      <c r="J56" s="39"/>
      <c r="K56" s="36">
        <f t="shared" si="2"/>
        <v>0</v>
      </c>
      <c r="L56" s="37">
        <f t="shared" si="3"/>
        <v>0</v>
      </c>
    </row>
    <row r="57" spans="1:12" x14ac:dyDescent="0.25">
      <c r="A57" s="234"/>
      <c r="B57" s="55">
        <v>3952</v>
      </c>
      <c r="C57" s="47" t="s">
        <v>40</v>
      </c>
      <c r="D57" s="44">
        <v>6</v>
      </c>
      <c r="E57" s="68">
        <v>6.5000000000000002E-2</v>
      </c>
      <c r="F57" s="30"/>
      <c r="G57" s="30"/>
      <c r="H57" s="34">
        <f t="shared" si="0"/>
        <v>0</v>
      </c>
      <c r="I57" s="34">
        <f t="shared" si="1"/>
        <v>0</v>
      </c>
      <c r="J57" s="39"/>
      <c r="K57" s="36">
        <f t="shared" si="2"/>
        <v>0</v>
      </c>
      <c r="L57" s="37">
        <f t="shared" si="3"/>
        <v>0</v>
      </c>
    </row>
    <row r="58" spans="1:12" x14ac:dyDescent="0.25">
      <c r="A58" s="234"/>
      <c r="B58" s="55">
        <v>3953</v>
      </c>
      <c r="C58" s="47" t="s">
        <v>41</v>
      </c>
      <c r="D58" s="44">
        <v>6</v>
      </c>
      <c r="E58" s="68">
        <v>6.5000000000000002E-2</v>
      </c>
      <c r="F58" s="30"/>
      <c r="G58" s="30"/>
      <c r="H58" s="34">
        <f t="shared" si="0"/>
        <v>0</v>
      </c>
      <c r="I58" s="34">
        <f t="shared" si="1"/>
        <v>0</v>
      </c>
      <c r="J58" s="39"/>
      <c r="K58" s="36">
        <f t="shared" si="2"/>
        <v>0</v>
      </c>
      <c r="L58" s="37">
        <f t="shared" si="3"/>
        <v>0</v>
      </c>
    </row>
    <row r="59" spans="1:12" x14ac:dyDescent="0.25">
      <c r="A59" s="234"/>
      <c r="B59" s="142">
        <v>3954</v>
      </c>
      <c r="C59" s="143" t="s">
        <v>42</v>
      </c>
      <c r="D59" s="44">
        <v>12</v>
      </c>
      <c r="E59" s="68">
        <v>6.5000000000000002E-2</v>
      </c>
      <c r="F59" s="30"/>
      <c r="G59" s="30"/>
      <c r="H59" s="34">
        <f t="shared" ref="H59:H64" si="9">F59/1.09</f>
        <v>0</v>
      </c>
      <c r="I59" s="34">
        <f t="shared" ref="I59:I64" si="10">G59/1.09</f>
        <v>0</v>
      </c>
      <c r="J59" s="39"/>
      <c r="K59" s="36">
        <f t="shared" ref="K59:K64" si="11">J59/1.19</f>
        <v>0</v>
      </c>
      <c r="L59" s="37">
        <f t="shared" ref="L59:L64" si="12">J59/1.29</f>
        <v>0</v>
      </c>
    </row>
    <row r="60" spans="1:12" x14ac:dyDescent="0.25">
      <c r="A60" s="234"/>
      <c r="B60" s="142">
        <v>3955</v>
      </c>
      <c r="C60" s="143" t="s">
        <v>141</v>
      </c>
      <c r="D60" s="44">
        <v>12</v>
      </c>
      <c r="E60" s="68">
        <v>6.5000000000000002E-2</v>
      </c>
      <c r="F60" s="30"/>
      <c r="G60" s="30"/>
      <c r="H60" s="34">
        <f t="shared" si="9"/>
        <v>0</v>
      </c>
      <c r="I60" s="34">
        <f t="shared" si="10"/>
        <v>0</v>
      </c>
      <c r="J60" s="39"/>
      <c r="K60" s="36">
        <f t="shared" si="11"/>
        <v>0</v>
      </c>
      <c r="L60" s="37">
        <f t="shared" si="12"/>
        <v>0</v>
      </c>
    </row>
    <row r="61" spans="1:12" x14ac:dyDescent="0.25">
      <c r="A61" s="234"/>
      <c r="B61" s="142">
        <v>3956</v>
      </c>
      <c r="C61" s="143" t="s">
        <v>142</v>
      </c>
      <c r="D61" s="44">
        <v>12</v>
      </c>
      <c r="E61" s="68">
        <v>6.5000000000000002E-2</v>
      </c>
      <c r="F61" s="30"/>
      <c r="G61" s="30"/>
      <c r="H61" s="34">
        <f t="shared" si="9"/>
        <v>0</v>
      </c>
      <c r="I61" s="34">
        <f t="shared" si="10"/>
        <v>0</v>
      </c>
      <c r="J61" s="39"/>
      <c r="K61" s="36">
        <f t="shared" si="11"/>
        <v>0</v>
      </c>
      <c r="L61" s="37">
        <f t="shared" si="12"/>
        <v>0</v>
      </c>
    </row>
    <row r="62" spans="1:12" x14ac:dyDescent="0.25">
      <c r="A62" s="235"/>
      <c r="B62" s="55">
        <v>3957</v>
      </c>
      <c r="C62" s="47" t="s">
        <v>143</v>
      </c>
      <c r="D62" s="44">
        <v>9</v>
      </c>
      <c r="E62" s="169">
        <v>6.5000000000000002E-2</v>
      </c>
      <c r="F62" s="30"/>
      <c r="G62" s="30"/>
      <c r="H62" s="34">
        <f t="shared" si="9"/>
        <v>0</v>
      </c>
      <c r="I62" s="34">
        <f t="shared" si="10"/>
        <v>0</v>
      </c>
      <c r="J62" s="39"/>
      <c r="K62" s="36">
        <f t="shared" si="11"/>
        <v>0</v>
      </c>
      <c r="L62" s="37">
        <f t="shared" si="12"/>
        <v>0</v>
      </c>
    </row>
    <row r="63" spans="1:12" x14ac:dyDescent="0.25">
      <c r="A63" s="235"/>
      <c r="B63" s="171">
        <v>3958</v>
      </c>
      <c r="C63" s="164" t="s">
        <v>151</v>
      </c>
      <c r="D63" s="172">
        <v>12</v>
      </c>
      <c r="E63" s="163">
        <v>6.5000000000000002E-2</v>
      </c>
      <c r="F63" s="30"/>
      <c r="G63" s="30"/>
      <c r="H63" s="34">
        <f t="shared" si="9"/>
        <v>0</v>
      </c>
      <c r="I63" s="34">
        <f t="shared" si="10"/>
        <v>0</v>
      </c>
      <c r="J63" s="39"/>
      <c r="K63" s="36">
        <f t="shared" si="11"/>
        <v>0</v>
      </c>
      <c r="L63" s="37">
        <f t="shared" si="12"/>
        <v>0</v>
      </c>
    </row>
    <row r="64" spans="1:12" x14ac:dyDescent="0.25">
      <c r="A64" s="235"/>
      <c r="B64" s="142">
        <v>3959</v>
      </c>
      <c r="C64" s="162" t="s">
        <v>152</v>
      </c>
      <c r="D64" s="129">
        <v>12</v>
      </c>
      <c r="E64" s="131">
        <v>6.5000000000000002E-2</v>
      </c>
      <c r="F64" s="30"/>
      <c r="G64" s="30"/>
      <c r="H64" s="34">
        <f t="shared" si="9"/>
        <v>0</v>
      </c>
      <c r="I64" s="34">
        <f t="shared" si="10"/>
        <v>0</v>
      </c>
      <c r="J64" s="39"/>
      <c r="K64" s="36">
        <f t="shared" si="11"/>
        <v>0</v>
      </c>
      <c r="L64" s="37">
        <f t="shared" si="12"/>
        <v>0</v>
      </c>
    </row>
    <row r="65" spans="1:12" ht="15.75" thickBot="1" x14ac:dyDescent="0.3">
      <c r="A65" s="235"/>
      <c r="B65" s="142">
        <v>3960</v>
      </c>
      <c r="C65" s="143" t="s">
        <v>153</v>
      </c>
      <c r="D65" s="129">
        <v>12</v>
      </c>
      <c r="E65" s="131">
        <v>6.5000000000000002E-2</v>
      </c>
      <c r="F65" s="31"/>
      <c r="G65" s="31"/>
      <c r="H65" s="92">
        <f t="shared" si="0"/>
        <v>0</v>
      </c>
      <c r="I65" s="92">
        <f t="shared" si="1"/>
        <v>0</v>
      </c>
      <c r="J65" s="74"/>
      <c r="K65" s="85">
        <f t="shared" si="2"/>
        <v>0</v>
      </c>
      <c r="L65" s="84">
        <f t="shared" si="3"/>
        <v>0</v>
      </c>
    </row>
    <row r="66" spans="1:12" ht="15" customHeight="1" x14ac:dyDescent="0.25">
      <c r="A66" s="236" t="s">
        <v>10</v>
      </c>
      <c r="B66" s="43">
        <v>4000</v>
      </c>
      <c r="C66" s="48" t="s">
        <v>144</v>
      </c>
      <c r="D66" s="59">
        <v>12</v>
      </c>
      <c r="E66" s="67">
        <v>6.5000000000000002E-2</v>
      </c>
      <c r="F66" s="29"/>
      <c r="G66" s="29"/>
      <c r="H66" s="35">
        <f t="shared" si="0"/>
        <v>0</v>
      </c>
      <c r="I66" s="35">
        <f t="shared" si="1"/>
        <v>0</v>
      </c>
      <c r="J66" s="38"/>
      <c r="K66" s="50">
        <f t="shared" si="2"/>
        <v>0</v>
      </c>
      <c r="L66" s="51">
        <f t="shared" si="3"/>
        <v>0</v>
      </c>
    </row>
    <row r="67" spans="1:12" x14ac:dyDescent="0.25">
      <c r="A67" s="237"/>
      <c r="B67" s="144">
        <v>4001</v>
      </c>
      <c r="C67" s="145" t="s">
        <v>43</v>
      </c>
      <c r="D67" s="146">
        <v>24</v>
      </c>
      <c r="E67" s="128">
        <v>6.5000000000000002E-2</v>
      </c>
      <c r="F67" s="30"/>
      <c r="G67" s="30"/>
      <c r="H67" s="34">
        <f t="shared" si="0"/>
        <v>0</v>
      </c>
      <c r="I67" s="34">
        <f t="shared" si="1"/>
        <v>0</v>
      </c>
      <c r="J67" s="39"/>
      <c r="K67" s="36">
        <f t="shared" si="2"/>
        <v>0</v>
      </c>
      <c r="L67" s="37">
        <f t="shared" si="3"/>
        <v>0</v>
      </c>
    </row>
    <row r="68" spans="1:12" x14ac:dyDescent="0.25">
      <c r="A68" s="237"/>
      <c r="B68" s="44">
        <v>4002</v>
      </c>
      <c r="C68" s="40" t="s">
        <v>44</v>
      </c>
      <c r="D68" s="60">
        <v>12</v>
      </c>
      <c r="E68" s="68">
        <v>6.5000000000000002E-2</v>
      </c>
      <c r="F68" s="30"/>
      <c r="G68" s="30"/>
      <c r="H68" s="34">
        <f t="shared" si="0"/>
        <v>0</v>
      </c>
      <c r="I68" s="34">
        <f t="shared" si="1"/>
        <v>0</v>
      </c>
      <c r="J68" s="39"/>
      <c r="K68" s="36">
        <f t="shared" si="2"/>
        <v>0</v>
      </c>
      <c r="L68" s="37">
        <f t="shared" si="3"/>
        <v>0</v>
      </c>
    </row>
    <row r="69" spans="1:12" x14ac:dyDescent="0.25">
      <c r="A69" s="237"/>
      <c r="B69" s="44">
        <v>4003</v>
      </c>
      <c r="C69" s="40" t="s">
        <v>45</v>
      </c>
      <c r="D69" s="60">
        <v>12</v>
      </c>
      <c r="E69" s="68">
        <v>6.5000000000000002E-2</v>
      </c>
      <c r="F69" s="30"/>
      <c r="G69" s="30"/>
      <c r="H69" s="34">
        <f t="shared" si="0"/>
        <v>0</v>
      </c>
      <c r="I69" s="34">
        <f t="shared" si="1"/>
        <v>0</v>
      </c>
      <c r="J69" s="39"/>
      <c r="K69" s="36">
        <f t="shared" si="2"/>
        <v>0</v>
      </c>
      <c r="L69" s="37">
        <f t="shared" si="3"/>
        <v>0</v>
      </c>
    </row>
    <row r="70" spans="1:12" x14ac:dyDescent="0.25">
      <c r="A70" s="237"/>
      <c r="B70" s="44">
        <v>4013</v>
      </c>
      <c r="C70" s="40" t="s">
        <v>46</v>
      </c>
      <c r="D70" s="60">
        <v>24</v>
      </c>
      <c r="E70" s="68">
        <v>6.5000000000000002E-2</v>
      </c>
      <c r="F70" s="30"/>
      <c r="G70" s="30"/>
      <c r="H70" s="34">
        <f t="shared" si="0"/>
        <v>0</v>
      </c>
      <c r="I70" s="34">
        <f t="shared" si="1"/>
        <v>0</v>
      </c>
      <c r="J70" s="39"/>
      <c r="K70" s="36">
        <f t="shared" si="2"/>
        <v>0</v>
      </c>
      <c r="L70" s="37">
        <f t="shared" si="3"/>
        <v>0</v>
      </c>
    </row>
    <row r="71" spans="1:12" x14ac:dyDescent="0.25">
      <c r="A71" s="237"/>
      <c r="B71" s="44">
        <v>4016</v>
      </c>
      <c r="C71" s="40" t="s">
        <v>47</v>
      </c>
      <c r="D71" s="60">
        <v>12</v>
      </c>
      <c r="E71" s="68">
        <v>6.5000000000000002E-2</v>
      </c>
      <c r="F71" s="30"/>
      <c r="G71" s="30"/>
      <c r="H71" s="34">
        <f t="shared" si="0"/>
        <v>0</v>
      </c>
      <c r="I71" s="34">
        <f t="shared" si="1"/>
        <v>0</v>
      </c>
      <c r="J71" s="39"/>
      <c r="K71" s="36">
        <f t="shared" si="2"/>
        <v>0</v>
      </c>
      <c r="L71" s="37">
        <f t="shared" si="3"/>
        <v>0</v>
      </c>
    </row>
    <row r="72" spans="1:12" x14ac:dyDescent="0.25">
      <c r="A72" s="237"/>
      <c r="B72" s="44">
        <v>4017</v>
      </c>
      <c r="C72" s="40" t="s">
        <v>48</v>
      </c>
      <c r="D72" s="60">
        <v>12</v>
      </c>
      <c r="E72" s="68">
        <v>6.5000000000000002E-2</v>
      </c>
      <c r="F72" s="30"/>
      <c r="G72" s="30"/>
      <c r="H72" s="34">
        <f t="shared" ref="H72:H119" si="13">F72/1.09</f>
        <v>0</v>
      </c>
      <c r="I72" s="34">
        <f t="shared" ref="I72:I119" si="14">G72/1.09</f>
        <v>0</v>
      </c>
      <c r="J72" s="39"/>
      <c r="K72" s="36">
        <f t="shared" ref="K72:K119" si="15">J72/1.19</f>
        <v>0</v>
      </c>
      <c r="L72" s="37">
        <f t="shared" ref="L72:L119" si="16">J72/1.29</f>
        <v>0</v>
      </c>
    </row>
    <row r="73" spans="1:12" x14ac:dyDescent="0.25">
      <c r="A73" s="237"/>
      <c r="B73" s="44">
        <v>4019</v>
      </c>
      <c r="C73" s="40" t="s">
        <v>49</v>
      </c>
      <c r="D73" s="60">
        <v>6</v>
      </c>
      <c r="E73" s="68">
        <v>6.5000000000000002E-2</v>
      </c>
      <c r="F73" s="30"/>
      <c r="G73" s="30"/>
      <c r="H73" s="34">
        <f t="shared" si="13"/>
        <v>0</v>
      </c>
      <c r="I73" s="34">
        <f t="shared" si="14"/>
        <v>0</v>
      </c>
      <c r="J73" s="39"/>
      <c r="K73" s="36">
        <f t="shared" si="15"/>
        <v>0</v>
      </c>
      <c r="L73" s="37">
        <f t="shared" si="16"/>
        <v>0</v>
      </c>
    </row>
    <row r="74" spans="1:12" x14ac:dyDescent="0.25">
      <c r="A74" s="237"/>
      <c r="B74" s="44">
        <v>4020</v>
      </c>
      <c r="C74" s="40" t="s">
        <v>50</v>
      </c>
      <c r="D74" s="60">
        <v>24</v>
      </c>
      <c r="E74" s="68">
        <v>6.5000000000000002E-2</v>
      </c>
      <c r="F74" s="30"/>
      <c r="G74" s="30"/>
      <c r="H74" s="34">
        <f t="shared" si="13"/>
        <v>0</v>
      </c>
      <c r="I74" s="34">
        <f t="shared" si="14"/>
        <v>0</v>
      </c>
      <c r="J74" s="39"/>
      <c r="K74" s="36">
        <f t="shared" si="15"/>
        <v>0</v>
      </c>
      <c r="L74" s="37">
        <f t="shared" si="16"/>
        <v>0</v>
      </c>
    </row>
    <row r="75" spans="1:12" x14ac:dyDescent="0.25">
      <c r="A75" s="237"/>
      <c r="B75" s="44">
        <v>4029</v>
      </c>
      <c r="C75" s="40" t="s">
        <v>51</v>
      </c>
      <c r="D75" s="60">
        <v>12</v>
      </c>
      <c r="E75" s="68">
        <v>6.5000000000000002E-2</v>
      </c>
      <c r="F75" s="30"/>
      <c r="G75" s="30"/>
      <c r="H75" s="34">
        <f t="shared" si="13"/>
        <v>0</v>
      </c>
      <c r="I75" s="34">
        <f t="shared" si="14"/>
        <v>0</v>
      </c>
      <c r="J75" s="39"/>
      <c r="K75" s="36">
        <f t="shared" si="15"/>
        <v>0</v>
      </c>
      <c r="L75" s="37">
        <f t="shared" si="16"/>
        <v>0</v>
      </c>
    </row>
    <row r="76" spans="1:12" x14ac:dyDescent="0.25">
      <c r="A76" s="237"/>
      <c r="B76" s="44">
        <v>4030</v>
      </c>
      <c r="C76" s="40" t="s">
        <v>52</v>
      </c>
      <c r="D76" s="60">
        <v>9</v>
      </c>
      <c r="E76" s="68">
        <v>6.5000000000000002E-2</v>
      </c>
      <c r="F76" s="30"/>
      <c r="G76" s="30"/>
      <c r="H76" s="34">
        <f t="shared" si="13"/>
        <v>0</v>
      </c>
      <c r="I76" s="34">
        <f t="shared" si="14"/>
        <v>0</v>
      </c>
      <c r="J76" s="39"/>
      <c r="K76" s="36">
        <f t="shared" si="15"/>
        <v>0</v>
      </c>
      <c r="L76" s="37">
        <f t="shared" si="16"/>
        <v>0</v>
      </c>
    </row>
    <row r="77" spans="1:12" x14ac:dyDescent="0.25">
      <c r="A77" s="237"/>
      <c r="B77" s="44">
        <v>4033</v>
      </c>
      <c r="C77" s="40" t="s">
        <v>53</v>
      </c>
      <c r="D77" s="60">
        <v>12</v>
      </c>
      <c r="E77" s="68">
        <v>6.5000000000000002E-2</v>
      </c>
      <c r="F77" s="30"/>
      <c r="G77" s="30"/>
      <c r="H77" s="34">
        <f t="shared" si="13"/>
        <v>0</v>
      </c>
      <c r="I77" s="34">
        <f t="shared" si="14"/>
        <v>0</v>
      </c>
      <c r="J77" s="39"/>
      <c r="K77" s="36">
        <f t="shared" si="15"/>
        <v>0</v>
      </c>
      <c r="L77" s="37">
        <f t="shared" si="16"/>
        <v>0</v>
      </c>
    </row>
    <row r="78" spans="1:12" x14ac:dyDescent="0.25">
      <c r="A78" s="237"/>
      <c r="B78" s="44">
        <v>4035</v>
      </c>
      <c r="C78" s="40" t="s">
        <v>54</v>
      </c>
      <c r="D78" s="60">
        <v>9</v>
      </c>
      <c r="E78" s="68">
        <v>6.5000000000000002E-2</v>
      </c>
      <c r="F78" s="30"/>
      <c r="G78" s="30"/>
      <c r="H78" s="34">
        <f t="shared" si="13"/>
        <v>0</v>
      </c>
      <c r="I78" s="34">
        <f t="shared" si="14"/>
        <v>0</v>
      </c>
      <c r="J78" s="39"/>
      <c r="K78" s="36">
        <f t="shared" si="15"/>
        <v>0</v>
      </c>
      <c r="L78" s="37">
        <f t="shared" si="16"/>
        <v>0</v>
      </c>
    </row>
    <row r="79" spans="1:12" x14ac:dyDescent="0.25">
      <c r="A79" s="237"/>
      <c r="B79" s="44">
        <v>4037</v>
      </c>
      <c r="C79" s="40" t="s">
        <v>55</v>
      </c>
      <c r="D79" s="60">
        <v>12</v>
      </c>
      <c r="E79" s="68">
        <v>6.5000000000000002E-2</v>
      </c>
      <c r="F79" s="30"/>
      <c r="G79" s="30"/>
      <c r="H79" s="34">
        <f t="shared" si="13"/>
        <v>0</v>
      </c>
      <c r="I79" s="34">
        <f t="shared" si="14"/>
        <v>0</v>
      </c>
      <c r="J79" s="39"/>
      <c r="K79" s="36">
        <f t="shared" si="15"/>
        <v>0</v>
      </c>
      <c r="L79" s="37">
        <f t="shared" si="16"/>
        <v>0</v>
      </c>
    </row>
    <row r="80" spans="1:12" x14ac:dyDescent="0.25">
      <c r="A80" s="237"/>
      <c r="B80" s="44">
        <v>4038</v>
      </c>
      <c r="C80" s="40" t="s">
        <v>56</v>
      </c>
      <c r="D80" s="60">
        <v>12</v>
      </c>
      <c r="E80" s="68">
        <v>6.5000000000000002E-2</v>
      </c>
      <c r="F80" s="30"/>
      <c r="G80" s="30"/>
      <c r="H80" s="34">
        <f t="shared" si="13"/>
        <v>0</v>
      </c>
      <c r="I80" s="34">
        <f t="shared" si="14"/>
        <v>0</v>
      </c>
      <c r="J80" s="39"/>
      <c r="K80" s="36">
        <f t="shared" si="15"/>
        <v>0</v>
      </c>
      <c r="L80" s="37">
        <f t="shared" si="16"/>
        <v>0</v>
      </c>
    </row>
    <row r="81" spans="1:12" x14ac:dyDescent="0.25">
      <c r="A81" s="237"/>
      <c r="B81" s="44">
        <v>4039</v>
      </c>
      <c r="C81" s="40" t="s">
        <v>57</v>
      </c>
      <c r="D81" s="60">
        <v>12</v>
      </c>
      <c r="E81" s="68">
        <v>6.5000000000000002E-2</v>
      </c>
      <c r="F81" s="30"/>
      <c r="G81" s="30"/>
      <c r="H81" s="34">
        <f t="shared" si="13"/>
        <v>0</v>
      </c>
      <c r="I81" s="34">
        <f t="shared" si="14"/>
        <v>0</v>
      </c>
      <c r="J81" s="39"/>
      <c r="K81" s="36">
        <f t="shared" si="15"/>
        <v>0</v>
      </c>
      <c r="L81" s="37">
        <f t="shared" si="16"/>
        <v>0</v>
      </c>
    </row>
    <row r="82" spans="1:12" x14ac:dyDescent="0.25">
      <c r="A82" s="237"/>
      <c r="B82" s="44">
        <v>4042</v>
      </c>
      <c r="C82" s="40" t="s">
        <v>58</v>
      </c>
      <c r="D82" s="60">
        <v>6</v>
      </c>
      <c r="E82" s="68">
        <v>6.5000000000000002E-2</v>
      </c>
      <c r="F82" s="30"/>
      <c r="G82" s="30"/>
      <c r="H82" s="34">
        <f t="shared" si="13"/>
        <v>0</v>
      </c>
      <c r="I82" s="34">
        <f t="shared" si="14"/>
        <v>0</v>
      </c>
      <c r="J82" s="39"/>
      <c r="K82" s="36">
        <f t="shared" si="15"/>
        <v>0</v>
      </c>
      <c r="L82" s="37">
        <f t="shared" si="16"/>
        <v>0</v>
      </c>
    </row>
    <row r="83" spans="1:12" x14ac:dyDescent="0.25">
      <c r="A83" s="237"/>
      <c r="B83" s="44">
        <v>4043</v>
      </c>
      <c r="C83" s="40" t="s">
        <v>59</v>
      </c>
      <c r="D83" s="60">
        <v>6</v>
      </c>
      <c r="E83" s="68">
        <v>6.5000000000000002E-2</v>
      </c>
      <c r="F83" s="30"/>
      <c r="G83" s="30"/>
      <c r="H83" s="34">
        <f t="shared" si="13"/>
        <v>0</v>
      </c>
      <c r="I83" s="34">
        <f t="shared" si="14"/>
        <v>0</v>
      </c>
      <c r="J83" s="39"/>
      <c r="K83" s="36">
        <f t="shared" si="15"/>
        <v>0</v>
      </c>
      <c r="L83" s="37">
        <f t="shared" si="16"/>
        <v>0</v>
      </c>
    </row>
    <row r="84" spans="1:12" x14ac:dyDescent="0.25">
      <c r="A84" s="237"/>
      <c r="B84" s="44">
        <v>4044</v>
      </c>
      <c r="C84" s="40" t="s">
        <v>60</v>
      </c>
      <c r="D84" s="60">
        <v>6</v>
      </c>
      <c r="E84" s="68">
        <v>6.5000000000000002E-2</v>
      </c>
      <c r="F84" s="30"/>
      <c r="G84" s="30"/>
      <c r="H84" s="34">
        <f t="shared" si="13"/>
        <v>0</v>
      </c>
      <c r="I84" s="34">
        <f t="shared" si="14"/>
        <v>0</v>
      </c>
      <c r="J84" s="39"/>
      <c r="K84" s="36">
        <f t="shared" si="15"/>
        <v>0</v>
      </c>
      <c r="L84" s="37">
        <f t="shared" si="16"/>
        <v>0</v>
      </c>
    </row>
    <row r="85" spans="1:12" x14ac:dyDescent="0.25">
      <c r="A85" s="237"/>
      <c r="B85" s="44">
        <v>4045</v>
      </c>
      <c r="C85" s="40" t="s">
        <v>61</v>
      </c>
      <c r="D85" s="60">
        <v>6</v>
      </c>
      <c r="E85" s="68">
        <v>6.5000000000000002E-2</v>
      </c>
      <c r="F85" s="30"/>
      <c r="G85" s="30"/>
      <c r="H85" s="34">
        <f t="shared" si="13"/>
        <v>0</v>
      </c>
      <c r="I85" s="34">
        <f t="shared" si="14"/>
        <v>0</v>
      </c>
      <c r="J85" s="39"/>
      <c r="K85" s="36">
        <f t="shared" si="15"/>
        <v>0</v>
      </c>
      <c r="L85" s="37">
        <f t="shared" si="16"/>
        <v>0</v>
      </c>
    </row>
    <row r="86" spans="1:12" x14ac:dyDescent="0.25">
      <c r="A86" s="237"/>
      <c r="B86" s="44">
        <v>4046</v>
      </c>
      <c r="C86" s="40" t="s">
        <v>62</v>
      </c>
      <c r="D86" s="60">
        <v>12</v>
      </c>
      <c r="E86" s="68">
        <v>6.5000000000000002E-2</v>
      </c>
      <c r="F86" s="30"/>
      <c r="G86" s="30"/>
      <c r="H86" s="34">
        <f t="shared" si="13"/>
        <v>0</v>
      </c>
      <c r="I86" s="34">
        <f t="shared" si="14"/>
        <v>0</v>
      </c>
      <c r="J86" s="39"/>
      <c r="K86" s="36">
        <f t="shared" si="15"/>
        <v>0</v>
      </c>
      <c r="L86" s="37">
        <f t="shared" si="16"/>
        <v>0</v>
      </c>
    </row>
    <row r="87" spans="1:12" x14ac:dyDescent="0.25">
      <c r="A87" s="237"/>
      <c r="B87" s="44">
        <v>4047</v>
      </c>
      <c r="C87" s="40" t="s">
        <v>63</v>
      </c>
      <c r="D87" s="60">
        <v>12</v>
      </c>
      <c r="E87" s="68">
        <v>6.5000000000000002E-2</v>
      </c>
      <c r="F87" s="30"/>
      <c r="G87" s="30"/>
      <c r="H87" s="34">
        <f t="shared" si="13"/>
        <v>0</v>
      </c>
      <c r="I87" s="34">
        <f t="shared" si="14"/>
        <v>0</v>
      </c>
      <c r="J87" s="39"/>
      <c r="K87" s="36">
        <f t="shared" si="15"/>
        <v>0</v>
      </c>
      <c r="L87" s="37">
        <f t="shared" si="16"/>
        <v>0</v>
      </c>
    </row>
    <row r="88" spans="1:12" x14ac:dyDescent="0.25">
      <c r="A88" s="237"/>
      <c r="B88" s="44">
        <v>4048</v>
      </c>
      <c r="C88" s="40" t="s">
        <v>160</v>
      </c>
      <c r="D88" s="60">
        <v>12</v>
      </c>
      <c r="E88" s="68">
        <v>6.5000000000000002E-2</v>
      </c>
      <c r="F88" s="30"/>
      <c r="G88" s="30"/>
      <c r="H88" s="34">
        <f t="shared" si="13"/>
        <v>0</v>
      </c>
      <c r="I88" s="34">
        <f t="shared" si="14"/>
        <v>0</v>
      </c>
      <c r="J88" s="39"/>
      <c r="K88" s="36">
        <f t="shared" si="15"/>
        <v>0</v>
      </c>
      <c r="L88" s="37">
        <f t="shared" si="16"/>
        <v>0</v>
      </c>
    </row>
    <row r="89" spans="1:12" x14ac:dyDescent="0.25">
      <c r="A89" s="237"/>
      <c r="B89" s="44">
        <v>4049</v>
      </c>
      <c r="C89" s="40" t="s">
        <v>64</v>
      </c>
      <c r="D89" s="60">
        <v>12</v>
      </c>
      <c r="E89" s="68">
        <v>6.5000000000000002E-2</v>
      </c>
      <c r="F89" s="30"/>
      <c r="G89" s="30"/>
      <c r="H89" s="34">
        <f t="shared" si="13"/>
        <v>0</v>
      </c>
      <c r="I89" s="34">
        <f t="shared" si="14"/>
        <v>0</v>
      </c>
      <c r="J89" s="39"/>
      <c r="K89" s="36">
        <f t="shared" si="15"/>
        <v>0</v>
      </c>
      <c r="L89" s="37">
        <f t="shared" si="16"/>
        <v>0</v>
      </c>
    </row>
    <row r="90" spans="1:12" x14ac:dyDescent="0.25">
      <c r="A90" s="237"/>
      <c r="B90" s="44">
        <v>4050</v>
      </c>
      <c r="C90" s="40" t="s">
        <v>65</v>
      </c>
      <c r="D90" s="60">
        <v>12</v>
      </c>
      <c r="E90" s="68">
        <v>6.5000000000000002E-2</v>
      </c>
      <c r="F90" s="30"/>
      <c r="G90" s="30"/>
      <c r="H90" s="34">
        <f t="shared" si="13"/>
        <v>0</v>
      </c>
      <c r="I90" s="34">
        <f t="shared" si="14"/>
        <v>0</v>
      </c>
      <c r="J90" s="39"/>
      <c r="K90" s="36">
        <f t="shared" si="15"/>
        <v>0</v>
      </c>
      <c r="L90" s="37">
        <f t="shared" si="16"/>
        <v>0</v>
      </c>
    </row>
    <row r="91" spans="1:12" x14ac:dyDescent="0.25">
      <c r="A91" s="237"/>
      <c r="B91" s="44">
        <v>4051</v>
      </c>
      <c r="C91" s="40" t="s">
        <v>66</v>
      </c>
      <c r="D91" s="60">
        <v>12</v>
      </c>
      <c r="E91" s="68">
        <v>6.5000000000000002E-2</v>
      </c>
      <c r="F91" s="30"/>
      <c r="G91" s="30"/>
      <c r="H91" s="34">
        <f t="shared" si="13"/>
        <v>0</v>
      </c>
      <c r="I91" s="34">
        <f t="shared" si="14"/>
        <v>0</v>
      </c>
      <c r="J91" s="39"/>
      <c r="K91" s="36">
        <f t="shared" si="15"/>
        <v>0</v>
      </c>
      <c r="L91" s="37">
        <f t="shared" si="16"/>
        <v>0</v>
      </c>
    </row>
    <row r="92" spans="1:12" x14ac:dyDescent="0.25">
      <c r="A92" s="237"/>
      <c r="B92" s="44">
        <v>4052</v>
      </c>
      <c r="C92" s="40" t="s">
        <v>154</v>
      </c>
      <c r="D92" s="60">
        <v>12</v>
      </c>
      <c r="E92" s="68">
        <v>6.5000000000000002E-2</v>
      </c>
      <c r="F92" s="30"/>
      <c r="G92" s="30"/>
      <c r="H92" s="34">
        <f t="shared" si="13"/>
        <v>0</v>
      </c>
      <c r="I92" s="34">
        <f t="shared" si="14"/>
        <v>0</v>
      </c>
      <c r="J92" s="39"/>
      <c r="K92" s="36">
        <f t="shared" si="15"/>
        <v>0</v>
      </c>
      <c r="L92" s="37">
        <f t="shared" si="16"/>
        <v>0</v>
      </c>
    </row>
    <row r="93" spans="1:12" x14ac:dyDescent="0.25">
      <c r="A93" s="237"/>
      <c r="B93" s="44">
        <v>4054</v>
      </c>
      <c r="C93" s="40" t="s">
        <v>67</v>
      </c>
      <c r="D93" s="60">
        <v>12</v>
      </c>
      <c r="E93" s="68">
        <v>6.5000000000000002E-2</v>
      </c>
      <c r="F93" s="30"/>
      <c r="G93" s="30"/>
      <c r="H93" s="34">
        <f t="shared" si="13"/>
        <v>0</v>
      </c>
      <c r="I93" s="34">
        <f t="shared" si="14"/>
        <v>0</v>
      </c>
      <c r="J93" s="39"/>
      <c r="K93" s="36">
        <f t="shared" si="15"/>
        <v>0</v>
      </c>
      <c r="L93" s="37">
        <f t="shared" si="16"/>
        <v>0</v>
      </c>
    </row>
    <row r="94" spans="1:12" x14ac:dyDescent="0.25">
      <c r="A94" s="237"/>
      <c r="B94" s="44">
        <v>4055</v>
      </c>
      <c r="C94" s="40" t="s">
        <v>68</v>
      </c>
      <c r="D94" s="60">
        <v>12</v>
      </c>
      <c r="E94" s="68">
        <v>6.5000000000000002E-2</v>
      </c>
      <c r="F94" s="30"/>
      <c r="G94" s="30"/>
      <c r="H94" s="34">
        <f t="shared" si="13"/>
        <v>0</v>
      </c>
      <c r="I94" s="34">
        <f t="shared" si="14"/>
        <v>0</v>
      </c>
      <c r="J94" s="39"/>
      <c r="K94" s="36">
        <f t="shared" si="15"/>
        <v>0</v>
      </c>
      <c r="L94" s="37">
        <f t="shared" si="16"/>
        <v>0</v>
      </c>
    </row>
    <row r="95" spans="1:12" x14ac:dyDescent="0.25">
      <c r="A95" s="237"/>
      <c r="B95" s="44">
        <v>4056</v>
      </c>
      <c r="C95" s="40" t="s">
        <v>69</v>
      </c>
      <c r="D95" s="60">
        <v>24</v>
      </c>
      <c r="E95" s="70">
        <v>3.2500000000000001E-2</v>
      </c>
      <c r="F95" s="30"/>
      <c r="G95" s="30"/>
      <c r="H95" s="34">
        <f t="shared" si="13"/>
        <v>0</v>
      </c>
      <c r="I95" s="34">
        <f t="shared" si="14"/>
        <v>0</v>
      </c>
      <c r="J95" s="39"/>
      <c r="K95" s="36">
        <f t="shared" si="15"/>
        <v>0</v>
      </c>
      <c r="L95" s="37">
        <f t="shared" si="16"/>
        <v>0</v>
      </c>
    </row>
    <row r="96" spans="1:12" x14ac:dyDescent="0.25">
      <c r="A96" s="237"/>
      <c r="B96" s="44">
        <v>4057</v>
      </c>
      <c r="C96" s="40" t="s">
        <v>70</v>
      </c>
      <c r="D96" s="60">
        <v>12</v>
      </c>
      <c r="E96" s="68">
        <v>6.5000000000000002E-2</v>
      </c>
      <c r="F96" s="30"/>
      <c r="G96" s="30"/>
      <c r="H96" s="34">
        <f t="shared" si="13"/>
        <v>0</v>
      </c>
      <c r="I96" s="34">
        <f t="shared" si="14"/>
        <v>0</v>
      </c>
      <c r="J96" s="39"/>
      <c r="K96" s="36">
        <f t="shared" si="15"/>
        <v>0</v>
      </c>
      <c r="L96" s="37">
        <f t="shared" si="16"/>
        <v>0</v>
      </c>
    </row>
    <row r="97" spans="1:12" x14ac:dyDescent="0.25">
      <c r="A97" s="237"/>
      <c r="B97" s="44">
        <v>4058</v>
      </c>
      <c r="C97" s="40" t="s">
        <v>88</v>
      </c>
      <c r="D97" s="60">
        <v>12</v>
      </c>
      <c r="E97" s="68">
        <v>6.5000000000000002E-2</v>
      </c>
      <c r="F97" s="30"/>
      <c r="G97" s="30"/>
      <c r="H97" s="34">
        <f t="shared" si="13"/>
        <v>0</v>
      </c>
      <c r="I97" s="34">
        <f t="shared" si="14"/>
        <v>0</v>
      </c>
      <c r="J97" s="39"/>
      <c r="K97" s="36">
        <f t="shared" si="15"/>
        <v>0</v>
      </c>
      <c r="L97" s="37">
        <f t="shared" si="16"/>
        <v>0</v>
      </c>
    </row>
    <row r="98" spans="1:12" x14ac:dyDescent="0.25">
      <c r="A98" s="237"/>
      <c r="B98" s="44">
        <v>4059</v>
      </c>
      <c r="C98" s="40" t="s">
        <v>81</v>
      </c>
      <c r="D98" s="60">
        <v>24</v>
      </c>
      <c r="E98" s="70">
        <v>3.2500000000000001E-2</v>
      </c>
      <c r="F98" s="30"/>
      <c r="G98" s="30"/>
      <c r="H98" s="34">
        <f t="shared" si="13"/>
        <v>0</v>
      </c>
      <c r="I98" s="34">
        <f t="shared" si="14"/>
        <v>0</v>
      </c>
      <c r="J98" s="39"/>
      <c r="K98" s="36">
        <f t="shared" si="15"/>
        <v>0</v>
      </c>
      <c r="L98" s="37">
        <f t="shared" si="16"/>
        <v>0</v>
      </c>
    </row>
    <row r="99" spans="1:12" x14ac:dyDescent="0.25">
      <c r="A99" s="237"/>
      <c r="B99" s="44">
        <v>4060</v>
      </c>
      <c r="C99" s="40" t="s">
        <v>89</v>
      </c>
      <c r="D99" s="60">
        <v>24</v>
      </c>
      <c r="E99" s="70">
        <v>3.2500000000000001E-2</v>
      </c>
      <c r="F99" s="30"/>
      <c r="G99" s="30"/>
      <c r="H99" s="34">
        <f t="shared" si="13"/>
        <v>0</v>
      </c>
      <c r="I99" s="34">
        <f t="shared" si="14"/>
        <v>0</v>
      </c>
      <c r="J99" s="39"/>
      <c r="K99" s="36">
        <f t="shared" si="15"/>
        <v>0</v>
      </c>
      <c r="L99" s="37">
        <f t="shared" si="16"/>
        <v>0</v>
      </c>
    </row>
    <row r="100" spans="1:12" x14ac:dyDescent="0.25">
      <c r="A100" s="237"/>
      <c r="B100" s="44">
        <v>4061</v>
      </c>
      <c r="C100" s="40" t="s">
        <v>90</v>
      </c>
      <c r="D100" s="60">
        <v>12</v>
      </c>
      <c r="E100" s="70">
        <v>3.2500000000000001E-2</v>
      </c>
      <c r="F100" s="30"/>
      <c r="G100" s="30"/>
      <c r="H100" s="34">
        <f t="shared" si="13"/>
        <v>0</v>
      </c>
      <c r="I100" s="34">
        <f t="shared" si="14"/>
        <v>0</v>
      </c>
      <c r="J100" s="39"/>
      <c r="K100" s="36">
        <f t="shared" si="15"/>
        <v>0</v>
      </c>
      <c r="L100" s="37">
        <f t="shared" si="16"/>
        <v>0</v>
      </c>
    </row>
    <row r="101" spans="1:12" x14ac:dyDescent="0.25">
      <c r="A101" s="237"/>
      <c r="B101" s="44">
        <v>4063</v>
      </c>
      <c r="C101" s="40" t="s">
        <v>161</v>
      </c>
      <c r="D101" s="60">
        <v>12</v>
      </c>
      <c r="E101" s="68">
        <v>6.5000000000000002E-2</v>
      </c>
      <c r="F101" s="30"/>
      <c r="G101" s="30"/>
      <c r="H101" s="34">
        <f t="shared" si="13"/>
        <v>0</v>
      </c>
      <c r="I101" s="34">
        <f t="shared" si="14"/>
        <v>0</v>
      </c>
      <c r="J101" s="39"/>
      <c r="K101" s="36">
        <f t="shared" si="15"/>
        <v>0</v>
      </c>
      <c r="L101" s="37">
        <f t="shared" si="16"/>
        <v>0</v>
      </c>
    </row>
    <row r="102" spans="1:12" x14ac:dyDescent="0.25">
      <c r="A102" s="237"/>
      <c r="B102" s="44">
        <v>4065</v>
      </c>
      <c r="C102" s="40" t="s">
        <v>157</v>
      </c>
      <c r="D102" s="60">
        <v>12</v>
      </c>
      <c r="E102" s="68">
        <v>6.5000000000000002E-2</v>
      </c>
      <c r="F102" s="30"/>
      <c r="G102" s="30"/>
      <c r="H102" s="34">
        <f t="shared" si="13"/>
        <v>0</v>
      </c>
      <c r="I102" s="34">
        <f t="shared" si="14"/>
        <v>0</v>
      </c>
      <c r="J102" s="39"/>
      <c r="K102" s="36">
        <f t="shared" si="15"/>
        <v>0</v>
      </c>
      <c r="L102" s="37">
        <f t="shared" si="16"/>
        <v>0</v>
      </c>
    </row>
    <row r="103" spans="1:12" x14ac:dyDescent="0.25">
      <c r="A103" s="237"/>
      <c r="B103" s="44">
        <v>4066</v>
      </c>
      <c r="C103" s="40" t="s">
        <v>155</v>
      </c>
      <c r="D103" s="60">
        <v>12</v>
      </c>
      <c r="E103" s="68">
        <v>6.5000000000000002E-2</v>
      </c>
      <c r="F103" s="30"/>
      <c r="G103" s="30"/>
      <c r="H103" s="34">
        <f t="shared" si="13"/>
        <v>0</v>
      </c>
      <c r="I103" s="34">
        <f t="shared" si="14"/>
        <v>0</v>
      </c>
      <c r="J103" s="39"/>
      <c r="K103" s="36">
        <f t="shared" si="15"/>
        <v>0</v>
      </c>
      <c r="L103" s="37">
        <f t="shared" si="16"/>
        <v>0</v>
      </c>
    </row>
    <row r="104" spans="1:12" x14ac:dyDescent="0.25">
      <c r="A104" s="237"/>
      <c r="B104" s="44">
        <v>4067</v>
      </c>
      <c r="C104" s="40" t="s">
        <v>156</v>
      </c>
      <c r="D104" s="60">
        <v>12</v>
      </c>
      <c r="E104" s="68">
        <v>6.5000000000000002E-2</v>
      </c>
      <c r="F104" s="30"/>
      <c r="G104" s="30"/>
      <c r="H104" s="34">
        <f t="shared" si="13"/>
        <v>0</v>
      </c>
      <c r="I104" s="34">
        <f t="shared" si="14"/>
        <v>0</v>
      </c>
      <c r="J104" s="39"/>
      <c r="K104" s="36">
        <f t="shared" si="15"/>
        <v>0</v>
      </c>
      <c r="L104" s="37">
        <f t="shared" si="16"/>
        <v>0</v>
      </c>
    </row>
    <row r="105" spans="1:12" x14ac:dyDescent="0.25">
      <c r="A105" s="237"/>
      <c r="B105" s="44">
        <v>4068</v>
      </c>
      <c r="C105" s="40" t="s">
        <v>159</v>
      </c>
      <c r="D105" s="60">
        <v>12</v>
      </c>
      <c r="E105" s="68">
        <v>6.5000000000000002E-2</v>
      </c>
      <c r="F105" s="30"/>
      <c r="G105" s="30"/>
      <c r="H105" s="34">
        <f t="shared" si="13"/>
        <v>0</v>
      </c>
      <c r="I105" s="34">
        <f t="shared" si="14"/>
        <v>0</v>
      </c>
      <c r="J105" s="39"/>
      <c r="K105" s="36">
        <f t="shared" si="15"/>
        <v>0</v>
      </c>
      <c r="L105" s="37">
        <f t="shared" si="16"/>
        <v>0</v>
      </c>
    </row>
    <row r="106" spans="1:12" x14ac:dyDescent="0.25">
      <c r="A106" s="237"/>
      <c r="B106" s="44">
        <v>4069</v>
      </c>
      <c r="C106" s="40" t="s">
        <v>158</v>
      </c>
      <c r="D106" s="60">
        <v>12</v>
      </c>
      <c r="E106" s="68">
        <v>6.5000000000000002E-2</v>
      </c>
      <c r="F106" s="30"/>
      <c r="G106" s="30"/>
      <c r="H106" s="34">
        <f t="shared" si="13"/>
        <v>0</v>
      </c>
      <c r="I106" s="34">
        <f t="shared" si="14"/>
        <v>0</v>
      </c>
      <c r="J106" s="39"/>
      <c r="K106" s="36">
        <f t="shared" si="15"/>
        <v>0</v>
      </c>
      <c r="L106" s="37">
        <f t="shared" si="16"/>
        <v>0</v>
      </c>
    </row>
    <row r="107" spans="1:12" x14ac:dyDescent="0.25">
      <c r="A107" s="237"/>
      <c r="B107" s="44">
        <v>4070</v>
      </c>
      <c r="C107" s="40"/>
      <c r="D107" s="60"/>
      <c r="E107" s="68">
        <v>6.5000000000000002E-2</v>
      </c>
      <c r="F107" s="30"/>
      <c r="G107" s="30"/>
      <c r="H107" s="34">
        <f t="shared" si="13"/>
        <v>0</v>
      </c>
      <c r="I107" s="34">
        <f t="shared" si="14"/>
        <v>0</v>
      </c>
      <c r="J107" s="39"/>
      <c r="K107" s="36">
        <f t="shared" si="15"/>
        <v>0</v>
      </c>
      <c r="L107" s="37">
        <f t="shared" si="16"/>
        <v>0</v>
      </c>
    </row>
    <row r="108" spans="1:12" x14ac:dyDescent="0.25">
      <c r="A108" s="237"/>
      <c r="B108" s="44">
        <v>4071</v>
      </c>
      <c r="C108" s="40"/>
      <c r="D108" s="60"/>
      <c r="E108" s="68">
        <v>6.5000000000000002E-2</v>
      </c>
      <c r="F108" s="30"/>
      <c r="G108" s="30"/>
      <c r="H108" s="34">
        <f t="shared" si="13"/>
        <v>0</v>
      </c>
      <c r="I108" s="34">
        <f t="shared" si="14"/>
        <v>0</v>
      </c>
      <c r="J108" s="39"/>
      <c r="K108" s="36">
        <f t="shared" si="15"/>
        <v>0</v>
      </c>
      <c r="L108" s="37">
        <f t="shared" si="16"/>
        <v>0</v>
      </c>
    </row>
    <row r="109" spans="1:12" x14ac:dyDescent="0.25">
      <c r="A109" s="237"/>
      <c r="B109" s="44">
        <v>6007</v>
      </c>
      <c r="C109" s="40" t="s">
        <v>71</v>
      </c>
      <c r="D109" s="60">
        <v>24</v>
      </c>
      <c r="E109" s="68">
        <v>6.5000000000000002E-2</v>
      </c>
      <c r="F109" s="30"/>
      <c r="G109" s="30"/>
      <c r="H109" s="34">
        <f t="shared" si="13"/>
        <v>0</v>
      </c>
      <c r="I109" s="34">
        <f t="shared" si="14"/>
        <v>0</v>
      </c>
      <c r="J109" s="39"/>
      <c r="K109" s="36">
        <f t="shared" si="15"/>
        <v>0</v>
      </c>
      <c r="L109" s="37">
        <f t="shared" si="16"/>
        <v>0</v>
      </c>
    </row>
    <row r="110" spans="1:12" x14ac:dyDescent="0.25">
      <c r="A110" s="237"/>
      <c r="B110" s="44">
        <v>6009</v>
      </c>
      <c r="C110" s="40" t="s">
        <v>72</v>
      </c>
      <c r="D110" s="60">
        <v>12</v>
      </c>
      <c r="E110" s="68">
        <v>6.5000000000000002E-2</v>
      </c>
      <c r="F110" s="30"/>
      <c r="G110" s="30"/>
      <c r="H110" s="34">
        <f t="shared" si="13"/>
        <v>0</v>
      </c>
      <c r="I110" s="34">
        <f t="shared" si="14"/>
        <v>0</v>
      </c>
      <c r="J110" s="39"/>
      <c r="K110" s="36">
        <f t="shared" si="15"/>
        <v>0</v>
      </c>
      <c r="L110" s="37">
        <f t="shared" si="16"/>
        <v>0</v>
      </c>
    </row>
    <row r="111" spans="1:12" ht="15.75" thickBot="1" x14ac:dyDescent="0.3">
      <c r="A111" s="238"/>
      <c r="B111" s="45">
        <v>6011</v>
      </c>
      <c r="C111" s="42" t="s">
        <v>73</v>
      </c>
      <c r="D111" s="61">
        <v>24</v>
      </c>
      <c r="E111" s="69">
        <v>6.5000000000000002E-2</v>
      </c>
      <c r="F111" s="30"/>
      <c r="G111" s="30"/>
      <c r="H111" s="34">
        <f t="shared" si="13"/>
        <v>0</v>
      </c>
      <c r="I111" s="34">
        <f t="shared" si="14"/>
        <v>0</v>
      </c>
      <c r="J111" s="39"/>
      <c r="K111" s="36">
        <f t="shared" si="15"/>
        <v>0</v>
      </c>
      <c r="L111" s="37">
        <f t="shared" si="16"/>
        <v>0</v>
      </c>
    </row>
    <row r="112" spans="1:12" ht="15" customHeight="1" x14ac:dyDescent="0.25">
      <c r="A112" s="229" t="s">
        <v>11</v>
      </c>
      <c r="B112" s="144">
        <v>8001</v>
      </c>
      <c r="C112" s="176" t="s">
        <v>74</v>
      </c>
      <c r="D112" s="64">
        <v>9</v>
      </c>
      <c r="E112" s="128">
        <v>6.5000000000000002E-2</v>
      </c>
      <c r="F112" s="29"/>
      <c r="G112" s="29"/>
      <c r="H112" s="35">
        <f t="shared" si="13"/>
        <v>0</v>
      </c>
      <c r="I112" s="35">
        <f t="shared" si="14"/>
        <v>0</v>
      </c>
      <c r="J112" s="38"/>
      <c r="K112" s="50">
        <f t="shared" si="15"/>
        <v>0</v>
      </c>
      <c r="L112" s="51">
        <f t="shared" si="16"/>
        <v>0</v>
      </c>
    </row>
    <row r="113" spans="1:12" x14ac:dyDescent="0.25">
      <c r="A113" s="229"/>
      <c r="B113" s="44">
        <v>8002</v>
      </c>
      <c r="C113" s="47" t="s">
        <v>75</v>
      </c>
      <c r="D113" s="64">
        <v>6</v>
      </c>
      <c r="E113" s="68">
        <v>6.5000000000000002E-2</v>
      </c>
      <c r="F113" s="30"/>
      <c r="G113" s="30"/>
      <c r="H113" s="34">
        <f t="shared" si="13"/>
        <v>0</v>
      </c>
      <c r="I113" s="34">
        <f t="shared" si="14"/>
        <v>0</v>
      </c>
      <c r="J113" s="39"/>
      <c r="K113" s="36">
        <f t="shared" si="15"/>
        <v>0</v>
      </c>
      <c r="L113" s="37">
        <f t="shared" si="16"/>
        <v>0</v>
      </c>
    </row>
    <row r="114" spans="1:12" x14ac:dyDescent="0.25">
      <c r="A114" s="229"/>
      <c r="B114" s="44">
        <v>8003</v>
      </c>
      <c r="C114" s="47" t="s">
        <v>76</v>
      </c>
      <c r="D114" s="63">
        <v>6</v>
      </c>
      <c r="E114" s="68">
        <v>6.5000000000000002E-2</v>
      </c>
      <c r="F114" s="30"/>
      <c r="G114" s="30"/>
      <c r="H114" s="34">
        <f t="shared" si="13"/>
        <v>0</v>
      </c>
      <c r="I114" s="34">
        <f t="shared" si="14"/>
        <v>0</v>
      </c>
      <c r="J114" s="39"/>
      <c r="K114" s="36">
        <f t="shared" si="15"/>
        <v>0</v>
      </c>
      <c r="L114" s="37">
        <f t="shared" si="16"/>
        <v>0</v>
      </c>
    </row>
    <row r="115" spans="1:12" x14ac:dyDescent="0.25">
      <c r="A115" s="229"/>
      <c r="B115" s="44">
        <v>8004</v>
      </c>
      <c r="C115" s="47" t="s">
        <v>77</v>
      </c>
      <c r="D115" s="63">
        <v>12</v>
      </c>
      <c r="E115" s="68">
        <v>6.5000000000000002E-2</v>
      </c>
      <c r="F115" s="30"/>
      <c r="G115" s="30"/>
      <c r="H115" s="34">
        <f t="shared" si="13"/>
        <v>0</v>
      </c>
      <c r="I115" s="34">
        <f t="shared" si="14"/>
        <v>0</v>
      </c>
      <c r="J115" s="39"/>
      <c r="K115" s="36">
        <f t="shared" si="15"/>
        <v>0</v>
      </c>
      <c r="L115" s="37">
        <f t="shared" si="16"/>
        <v>0</v>
      </c>
    </row>
    <row r="116" spans="1:12" x14ac:dyDescent="0.25">
      <c r="A116" s="229"/>
      <c r="B116" s="44">
        <v>8011</v>
      </c>
      <c r="C116" s="47" t="s">
        <v>78</v>
      </c>
      <c r="D116" s="63">
        <v>12</v>
      </c>
      <c r="E116" s="68">
        <v>6.5000000000000002E-2</v>
      </c>
      <c r="F116" s="30"/>
      <c r="G116" s="30"/>
      <c r="H116" s="34">
        <f t="shared" si="13"/>
        <v>0</v>
      </c>
      <c r="I116" s="34">
        <f t="shared" si="14"/>
        <v>0</v>
      </c>
      <c r="J116" s="39"/>
      <c r="K116" s="36">
        <f t="shared" si="15"/>
        <v>0</v>
      </c>
      <c r="L116" s="37">
        <f t="shared" si="16"/>
        <v>0</v>
      </c>
    </row>
    <row r="117" spans="1:12" x14ac:dyDescent="0.25">
      <c r="A117" s="229"/>
      <c r="B117" s="44">
        <v>8012</v>
      </c>
      <c r="C117" s="47" t="s">
        <v>91</v>
      </c>
      <c r="D117" s="63">
        <v>12</v>
      </c>
      <c r="E117" s="68">
        <v>6.5000000000000002E-2</v>
      </c>
      <c r="F117" s="30"/>
      <c r="G117" s="30"/>
      <c r="H117" s="34">
        <f t="shared" ref="H117" si="17">F117/1.09</f>
        <v>0</v>
      </c>
      <c r="I117" s="34">
        <f t="shared" ref="I117" si="18">G117/1.09</f>
        <v>0</v>
      </c>
      <c r="J117" s="39"/>
      <c r="K117" s="36">
        <f t="shared" ref="K117" si="19">J117/1.19</f>
        <v>0</v>
      </c>
      <c r="L117" s="37">
        <f t="shared" ref="L117" si="20">J117/1.29</f>
        <v>0</v>
      </c>
    </row>
    <row r="118" spans="1:12" x14ac:dyDescent="0.25">
      <c r="A118" s="229"/>
      <c r="B118" s="44">
        <v>8013</v>
      </c>
      <c r="C118" s="47" t="s">
        <v>145</v>
      </c>
      <c r="D118" s="63">
        <v>12</v>
      </c>
      <c r="E118" s="173">
        <v>6.5000000000000002E-2</v>
      </c>
      <c r="F118" s="30"/>
      <c r="G118" s="30"/>
      <c r="H118" s="34">
        <f t="shared" si="13"/>
        <v>0</v>
      </c>
      <c r="I118" s="34">
        <f t="shared" si="14"/>
        <v>0</v>
      </c>
      <c r="J118" s="39"/>
      <c r="K118" s="36">
        <f t="shared" si="15"/>
        <v>0</v>
      </c>
      <c r="L118" s="37">
        <f t="shared" si="16"/>
        <v>0</v>
      </c>
    </row>
    <row r="119" spans="1:12" ht="15.75" thickBot="1" x14ac:dyDescent="0.3">
      <c r="A119" s="239"/>
      <c r="B119" s="52">
        <v>8014</v>
      </c>
      <c r="C119" s="53"/>
      <c r="D119" s="65"/>
      <c r="E119" s="174">
        <v>6.5000000000000002E-2</v>
      </c>
      <c r="F119" s="33"/>
      <c r="G119" s="33"/>
      <c r="H119" s="92">
        <f t="shared" si="13"/>
        <v>0</v>
      </c>
      <c r="I119" s="92">
        <f t="shared" si="14"/>
        <v>0</v>
      </c>
      <c r="J119" s="74"/>
      <c r="K119" s="85">
        <f t="shared" si="15"/>
        <v>0</v>
      </c>
      <c r="L119" s="84">
        <f t="shared" si="16"/>
        <v>0</v>
      </c>
    </row>
    <row r="120" spans="1:12" ht="15.75" thickBot="1" x14ac:dyDescent="0.3">
      <c r="A120" s="11"/>
      <c r="B120" s="12"/>
      <c r="C120" s="13"/>
      <c r="D120" s="12"/>
      <c r="E120" s="14"/>
      <c r="F120" s="15"/>
      <c r="G120" s="15"/>
      <c r="H120" s="15"/>
      <c r="I120" s="15"/>
      <c r="J120" s="16"/>
      <c r="K120" s="17"/>
      <c r="L120" s="18"/>
    </row>
    <row r="121" spans="1:12" ht="15.75" thickBot="1" x14ac:dyDescent="0.3">
      <c r="A121" s="226" t="s">
        <v>92</v>
      </c>
      <c r="B121" s="227"/>
      <c r="C121" s="227"/>
      <c r="D121" s="19"/>
      <c r="E121" s="19"/>
      <c r="F121" s="19"/>
      <c r="G121" s="19"/>
      <c r="H121" s="19"/>
      <c r="I121" s="19"/>
      <c r="J121" s="19"/>
      <c r="K121" s="19"/>
      <c r="L121" s="20"/>
    </row>
    <row r="122" spans="1:12" ht="15.75" thickBot="1" x14ac:dyDescent="0.3">
      <c r="A122" s="190" t="s">
        <v>124</v>
      </c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2"/>
    </row>
    <row r="123" spans="1:12" ht="15.75" thickBot="1" x14ac:dyDescent="0.3">
      <c r="A123" s="193" t="s">
        <v>93</v>
      </c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5"/>
    </row>
    <row r="124" spans="1:12" x14ac:dyDescent="0.25">
      <c r="A124" s="27" t="s">
        <v>94</v>
      </c>
      <c r="B124" s="28"/>
      <c r="C124" s="28"/>
      <c r="D124" s="23"/>
      <c r="E124" s="23"/>
      <c r="F124" s="23"/>
      <c r="G124" s="23"/>
      <c r="H124" s="23"/>
      <c r="I124" s="23"/>
      <c r="J124" s="23"/>
      <c r="K124" s="23"/>
      <c r="L124" s="24"/>
    </row>
    <row r="125" spans="1:12" x14ac:dyDescent="0.25">
      <c r="A125" s="181" t="s">
        <v>123</v>
      </c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3"/>
    </row>
    <row r="126" spans="1:12" x14ac:dyDescent="0.25">
      <c r="A126" s="147" t="s">
        <v>120</v>
      </c>
      <c r="B126" s="73"/>
      <c r="C126" s="73"/>
      <c r="D126" s="73"/>
      <c r="E126" s="73"/>
      <c r="F126" s="73"/>
      <c r="G126" s="148"/>
      <c r="H126" s="148"/>
      <c r="I126" s="148"/>
      <c r="J126" s="148"/>
      <c r="K126" s="148"/>
      <c r="L126" s="149"/>
    </row>
    <row r="127" spans="1:12" x14ac:dyDescent="0.25">
      <c r="A127" s="181" t="s">
        <v>95</v>
      </c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3"/>
    </row>
    <row r="128" spans="1:12" x14ac:dyDescent="0.25">
      <c r="A128" s="181" t="s">
        <v>96</v>
      </c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3"/>
    </row>
    <row r="129" spans="1:12" x14ac:dyDescent="0.25">
      <c r="A129" s="181" t="s">
        <v>97</v>
      </c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3"/>
    </row>
    <row r="130" spans="1:12" ht="15.75" thickBot="1" x14ac:dyDescent="0.3">
      <c r="A130" s="158" t="s">
        <v>98</v>
      </c>
      <c r="B130" s="21"/>
      <c r="C130" s="21"/>
      <c r="D130" s="21"/>
      <c r="E130" s="21"/>
      <c r="F130" s="21"/>
      <c r="G130" s="159"/>
      <c r="H130" s="21"/>
      <c r="I130" s="21"/>
      <c r="J130" s="21"/>
      <c r="K130" s="21"/>
      <c r="L130" s="22"/>
    </row>
    <row r="131" spans="1:12" ht="15.75" thickBot="1" x14ac:dyDescent="0.3">
      <c r="A131" s="190" t="s">
        <v>99</v>
      </c>
      <c r="B131" s="191"/>
      <c r="C131" s="191"/>
      <c r="D131" s="191"/>
      <c r="E131" s="191"/>
      <c r="F131" s="191"/>
      <c r="G131" s="191"/>
      <c r="H131" s="191"/>
      <c r="I131" s="191"/>
      <c r="J131" s="191"/>
      <c r="K131" s="191"/>
      <c r="L131" s="192"/>
    </row>
    <row r="132" spans="1:12" x14ac:dyDescent="0.25">
      <c r="A132" s="160" t="s">
        <v>100</v>
      </c>
      <c r="B132" s="161"/>
      <c r="C132" s="161"/>
      <c r="D132" s="7"/>
      <c r="E132" s="7"/>
      <c r="F132" s="7"/>
      <c r="G132" s="7"/>
      <c r="H132" s="7"/>
      <c r="I132" s="7"/>
      <c r="J132" s="7"/>
      <c r="K132" s="7"/>
      <c r="L132" s="8"/>
    </row>
    <row r="133" spans="1:12" x14ac:dyDescent="0.25">
      <c r="A133" s="152" t="s">
        <v>101</v>
      </c>
      <c r="B133" s="153"/>
      <c r="C133" s="153"/>
      <c r="D133" s="153"/>
      <c r="E133" s="153"/>
      <c r="F133" s="9"/>
      <c r="G133" s="9"/>
      <c r="H133" s="9"/>
      <c r="I133" s="9"/>
      <c r="J133" s="9"/>
      <c r="K133" s="9"/>
      <c r="L133" s="10"/>
    </row>
    <row r="134" spans="1:12" x14ac:dyDescent="0.25">
      <c r="A134" s="196" t="s">
        <v>102</v>
      </c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8"/>
    </row>
    <row r="135" spans="1:12" x14ac:dyDescent="0.25">
      <c r="A135" s="196" t="s">
        <v>103</v>
      </c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8"/>
    </row>
    <row r="136" spans="1:12" x14ac:dyDescent="0.25">
      <c r="A136" s="196" t="s">
        <v>104</v>
      </c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8"/>
    </row>
    <row r="137" spans="1:12" ht="15.75" thickBot="1" x14ac:dyDescent="0.3">
      <c r="A137" s="199" t="s">
        <v>105</v>
      </c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1"/>
    </row>
    <row r="138" spans="1:12" ht="15.75" thickBot="1" x14ac:dyDescent="0.3">
      <c r="A138" s="202" t="s">
        <v>106</v>
      </c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4"/>
    </row>
    <row r="139" spans="1:12" x14ac:dyDescent="0.25">
      <c r="A139" s="205" t="s">
        <v>107</v>
      </c>
      <c r="B139" s="206"/>
      <c r="C139" s="206"/>
      <c r="D139" s="206"/>
      <c r="E139" s="206"/>
      <c r="F139" s="206"/>
      <c r="G139" s="206"/>
      <c r="H139" s="206"/>
      <c r="I139" s="206"/>
      <c r="J139" s="206"/>
      <c r="K139" s="206"/>
      <c r="L139" s="207"/>
    </row>
    <row r="140" spans="1:12" x14ac:dyDescent="0.25">
      <c r="A140" s="181" t="s">
        <v>108</v>
      </c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3"/>
    </row>
    <row r="141" spans="1:12" x14ac:dyDescent="0.25">
      <c r="A141" s="181" t="s">
        <v>109</v>
      </c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3"/>
    </row>
    <row r="142" spans="1:12" ht="15.75" thickBot="1" x14ac:dyDescent="0.3">
      <c r="A142" s="184" t="s">
        <v>110</v>
      </c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6"/>
    </row>
    <row r="143" spans="1:12" ht="15.75" thickBot="1" x14ac:dyDescent="0.3">
      <c r="A143" s="150" t="s">
        <v>111</v>
      </c>
      <c r="B143" s="151"/>
      <c r="C143" s="151"/>
      <c r="D143" s="25"/>
      <c r="E143" s="25"/>
      <c r="F143" s="25"/>
      <c r="G143" s="25"/>
      <c r="H143" s="25"/>
      <c r="I143" s="25"/>
      <c r="J143" s="25"/>
      <c r="K143" s="25"/>
      <c r="L143" s="26"/>
    </row>
    <row r="144" spans="1:12" x14ac:dyDescent="0.25">
      <c r="A144" s="152" t="s">
        <v>122</v>
      </c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4"/>
    </row>
    <row r="145" spans="1:12" ht="15.75" thickBot="1" x14ac:dyDescent="0.3">
      <c r="A145" s="155" t="s">
        <v>112</v>
      </c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7"/>
    </row>
    <row r="146" spans="1:12" ht="15.75" thickBot="1" x14ac:dyDescent="0.3">
      <c r="A146" s="187" t="s">
        <v>113</v>
      </c>
      <c r="B146" s="188"/>
      <c r="C146" s="188"/>
      <c r="D146" s="188"/>
      <c r="E146" s="188"/>
      <c r="F146" s="188"/>
      <c r="G146" s="188"/>
      <c r="H146" s="188"/>
      <c r="I146" s="188"/>
      <c r="J146" s="188"/>
      <c r="K146" s="188"/>
      <c r="L146" s="189"/>
    </row>
    <row r="147" spans="1:12" x14ac:dyDescent="0.25">
      <c r="A147" s="181" t="s">
        <v>114</v>
      </c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3"/>
    </row>
    <row r="148" spans="1:12" x14ac:dyDescent="0.25">
      <c r="A148" s="181" t="s">
        <v>115</v>
      </c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3"/>
    </row>
    <row r="149" spans="1:12" x14ac:dyDescent="0.25">
      <c r="A149" s="181" t="s">
        <v>116</v>
      </c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3"/>
    </row>
    <row r="150" spans="1:12" x14ac:dyDescent="0.25">
      <c r="A150" s="181" t="s">
        <v>117</v>
      </c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3"/>
    </row>
    <row r="151" spans="1:12" x14ac:dyDescent="0.25">
      <c r="A151" s="181" t="s">
        <v>118</v>
      </c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3"/>
    </row>
    <row r="152" spans="1:12" ht="15.75" thickBot="1" x14ac:dyDescent="0.3">
      <c r="A152" s="184" t="s">
        <v>119</v>
      </c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6"/>
    </row>
  </sheetData>
  <sheetProtection sheet="1" objects="1" scenarios="1" selectLockedCells="1" selectUnlockedCells="1"/>
  <mergeCells count="35">
    <mergeCell ref="A148:L148"/>
    <mergeCell ref="A149:L149"/>
    <mergeCell ref="A150:L150"/>
    <mergeCell ref="A151:L151"/>
    <mergeCell ref="A152:L152"/>
    <mergeCell ref="A147:L147"/>
    <mergeCell ref="A131:L131"/>
    <mergeCell ref="A134:L134"/>
    <mergeCell ref="A135:L135"/>
    <mergeCell ref="A136:L136"/>
    <mergeCell ref="A137:L137"/>
    <mergeCell ref="A138:L138"/>
    <mergeCell ref="A139:L139"/>
    <mergeCell ref="A140:L140"/>
    <mergeCell ref="A141:L141"/>
    <mergeCell ref="A142:L142"/>
    <mergeCell ref="A146:L146"/>
    <mergeCell ref="A129:L129"/>
    <mergeCell ref="A4:A18"/>
    <mergeCell ref="A19:A53"/>
    <mergeCell ref="A54:A65"/>
    <mergeCell ref="A66:A111"/>
    <mergeCell ref="A112:A119"/>
    <mergeCell ref="A121:C121"/>
    <mergeCell ref="A122:L122"/>
    <mergeCell ref="A123:L123"/>
    <mergeCell ref="A125:L125"/>
    <mergeCell ref="A127:L127"/>
    <mergeCell ref="A128:L128"/>
    <mergeCell ref="C1:E1"/>
    <mergeCell ref="F1:G2"/>
    <mergeCell ref="H1:I1"/>
    <mergeCell ref="J1:L2"/>
    <mergeCell ref="C2:E2"/>
    <mergeCell ref="H2:I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3"/>
  <sheetViews>
    <sheetView topLeftCell="A81" workbookViewId="0">
      <selection activeCell="C2" sqref="C2:E2"/>
    </sheetView>
  </sheetViews>
  <sheetFormatPr defaultRowHeight="15" x14ac:dyDescent="0.25"/>
  <cols>
    <col min="1" max="1" width="5.42578125" style="1" customWidth="1"/>
    <col min="2" max="2" width="6.5703125" style="1" bestFit="1" customWidth="1"/>
    <col min="3" max="3" width="47" style="1" customWidth="1"/>
    <col min="4" max="4" width="5.7109375" style="1" bestFit="1" customWidth="1"/>
    <col min="5" max="5" width="5.42578125" style="1" bestFit="1" customWidth="1"/>
    <col min="6" max="6" width="7.85546875" style="1" customWidth="1"/>
    <col min="7" max="7" width="7.140625" style="1" bestFit="1" customWidth="1"/>
    <col min="8" max="8" width="9.140625" style="1"/>
    <col min="9" max="9" width="11.5703125" style="1" customWidth="1"/>
    <col min="10" max="16384" width="9.140625" style="1"/>
  </cols>
  <sheetData>
    <row r="1" spans="1:7" ht="15" customHeight="1" x14ac:dyDescent="0.25">
      <c r="A1" s="2"/>
      <c r="B1" s="3"/>
      <c r="C1" s="218" t="s">
        <v>146</v>
      </c>
      <c r="D1" s="219"/>
      <c r="E1" s="220"/>
      <c r="F1" s="246" t="s">
        <v>82</v>
      </c>
      <c r="G1" s="102" t="s">
        <v>12</v>
      </c>
    </row>
    <row r="2" spans="1:7" ht="15.75" thickBot="1" x14ac:dyDescent="0.3">
      <c r="A2" s="4"/>
      <c r="B2" s="5"/>
      <c r="C2" s="221" t="s">
        <v>125</v>
      </c>
      <c r="D2" s="222"/>
      <c r="E2" s="223"/>
      <c r="F2" s="247"/>
      <c r="G2" s="103" t="s">
        <v>13</v>
      </c>
    </row>
    <row r="3" spans="1:7" ht="23.25" thickBot="1" x14ac:dyDescent="0.3">
      <c r="A3" s="75" t="s">
        <v>80</v>
      </c>
      <c r="B3" s="76" t="s">
        <v>0</v>
      </c>
      <c r="C3" s="49" t="s">
        <v>14</v>
      </c>
      <c r="D3" s="58" t="s">
        <v>79</v>
      </c>
      <c r="E3" s="66" t="s">
        <v>1</v>
      </c>
      <c r="F3" s="98" t="s">
        <v>129</v>
      </c>
      <c r="G3" s="104" t="s">
        <v>129</v>
      </c>
    </row>
    <row r="4" spans="1:7" x14ac:dyDescent="0.25">
      <c r="A4" s="228" t="s">
        <v>7</v>
      </c>
      <c r="B4" s="43" t="s">
        <v>2</v>
      </c>
      <c r="C4" s="46" t="s">
        <v>162</v>
      </c>
      <c r="D4" s="59">
        <v>60</v>
      </c>
      <c r="E4" s="67">
        <v>6.5000000000000002E-2</v>
      </c>
      <c r="F4" s="99"/>
      <c r="G4" s="105">
        <f t="shared" ref="G4:G36" si="0">F4/1.06</f>
        <v>0</v>
      </c>
    </row>
    <row r="5" spans="1:7" x14ac:dyDescent="0.25">
      <c r="A5" s="229"/>
      <c r="B5" s="44" t="s">
        <v>3</v>
      </c>
      <c r="C5" s="41" t="s">
        <v>164</v>
      </c>
      <c r="D5" s="60">
        <v>12</v>
      </c>
      <c r="E5" s="68">
        <v>6.5000000000000002E-2</v>
      </c>
      <c r="F5" s="100"/>
      <c r="G5" s="106">
        <f t="shared" si="0"/>
        <v>0</v>
      </c>
    </row>
    <row r="6" spans="1:7" x14ac:dyDescent="0.25">
      <c r="A6" s="229"/>
      <c r="B6" s="44" t="s">
        <v>4</v>
      </c>
      <c r="C6" s="41" t="s">
        <v>17</v>
      </c>
      <c r="D6" s="60">
        <v>60</v>
      </c>
      <c r="E6" s="68">
        <v>6.5000000000000002E-2</v>
      </c>
      <c r="F6" s="100"/>
      <c r="G6" s="106">
        <f t="shared" si="0"/>
        <v>0</v>
      </c>
    </row>
    <row r="7" spans="1:7" x14ac:dyDescent="0.25">
      <c r="A7" s="229"/>
      <c r="B7" s="44" t="s">
        <v>5</v>
      </c>
      <c r="C7" s="41" t="s">
        <v>163</v>
      </c>
      <c r="D7" s="60">
        <v>12</v>
      </c>
      <c r="E7" s="68">
        <v>6.5000000000000002E-2</v>
      </c>
      <c r="F7" s="100"/>
      <c r="G7" s="106">
        <f t="shared" si="0"/>
        <v>0</v>
      </c>
    </row>
    <row r="8" spans="1:7" x14ac:dyDescent="0.25">
      <c r="A8" s="229"/>
      <c r="B8" s="44" t="s">
        <v>133</v>
      </c>
      <c r="C8" s="41" t="s">
        <v>165</v>
      </c>
      <c r="D8" s="60">
        <v>5</v>
      </c>
      <c r="E8" s="68">
        <v>6.5000000000000002E-2</v>
      </c>
      <c r="F8" s="30"/>
      <c r="G8" s="106">
        <f t="shared" si="0"/>
        <v>0</v>
      </c>
    </row>
    <row r="9" spans="1:7" x14ac:dyDescent="0.25">
      <c r="A9" s="229"/>
      <c r="B9" s="44">
        <v>1010</v>
      </c>
      <c r="C9" s="41" t="s">
        <v>19</v>
      </c>
      <c r="D9" s="60">
        <v>12</v>
      </c>
      <c r="E9" s="68">
        <v>6.5000000000000002E-2</v>
      </c>
      <c r="F9" s="100"/>
      <c r="G9" s="106">
        <f t="shared" si="0"/>
        <v>0</v>
      </c>
    </row>
    <row r="10" spans="1:7" x14ac:dyDescent="0.25">
      <c r="A10" s="229"/>
      <c r="B10" s="44">
        <v>1011</v>
      </c>
      <c r="C10" s="41" t="s">
        <v>20</v>
      </c>
      <c r="D10" s="60">
        <v>12</v>
      </c>
      <c r="E10" s="68">
        <v>6.5000000000000002E-2</v>
      </c>
      <c r="F10" s="100"/>
      <c r="G10" s="106">
        <f t="shared" si="0"/>
        <v>0</v>
      </c>
    </row>
    <row r="11" spans="1:7" x14ac:dyDescent="0.25">
      <c r="A11" s="229"/>
      <c r="B11" s="44">
        <v>1012</v>
      </c>
      <c r="C11" s="41" t="s">
        <v>21</v>
      </c>
      <c r="D11" s="60">
        <v>12</v>
      </c>
      <c r="E11" s="68">
        <v>6.5000000000000002E-2</v>
      </c>
      <c r="F11" s="100"/>
      <c r="G11" s="106">
        <f t="shared" si="0"/>
        <v>0</v>
      </c>
    </row>
    <row r="12" spans="1:7" x14ac:dyDescent="0.25">
      <c r="A12" s="229"/>
      <c r="B12" s="44">
        <v>1013</v>
      </c>
      <c r="C12" s="41" t="s">
        <v>22</v>
      </c>
      <c r="D12" s="60">
        <v>12</v>
      </c>
      <c r="E12" s="68">
        <v>6.5000000000000002E-2</v>
      </c>
      <c r="F12" s="100"/>
      <c r="G12" s="106">
        <f t="shared" si="0"/>
        <v>0</v>
      </c>
    </row>
    <row r="13" spans="1:7" x14ac:dyDescent="0.25">
      <c r="A13" s="229"/>
      <c r="B13" s="44">
        <v>1023</v>
      </c>
      <c r="C13" s="41" t="s">
        <v>23</v>
      </c>
      <c r="D13" s="60">
        <v>12</v>
      </c>
      <c r="E13" s="68">
        <v>6.5000000000000002E-2</v>
      </c>
      <c r="F13" s="100"/>
      <c r="G13" s="106">
        <f t="shared" si="0"/>
        <v>0</v>
      </c>
    </row>
    <row r="14" spans="1:7" x14ac:dyDescent="0.25">
      <c r="A14" s="229"/>
      <c r="B14" s="44">
        <v>1024</v>
      </c>
      <c r="C14" s="41" t="s">
        <v>24</v>
      </c>
      <c r="D14" s="60">
        <v>12</v>
      </c>
      <c r="E14" s="68">
        <v>6.5000000000000002E-2</v>
      </c>
      <c r="F14" s="100"/>
      <c r="G14" s="106">
        <f t="shared" si="0"/>
        <v>0</v>
      </c>
    </row>
    <row r="15" spans="1:7" x14ac:dyDescent="0.25">
      <c r="A15" s="229"/>
      <c r="B15" s="44">
        <v>1025</v>
      </c>
      <c r="C15" s="41" t="s">
        <v>25</v>
      </c>
      <c r="D15" s="60">
        <v>12</v>
      </c>
      <c r="E15" s="68">
        <v>6.5000000000000002E-2</v>
      </c>
      <c r="F15" s="100"/>
      <c r="G15" s="106">
        <f t="shared" si="0"/>
        <v>0</v>
      </c>
    </row>
    <row r="16" spans="1:7" x14ac:dyDescent="0.25">
      <c r="A16" s="229"/>
      <c r="B16" s="44" t="s">
        <v>136</v>
      </c>
      <c r="C16" s="41" t="s">
        <v>137</v>
      </c>
      <c r="D16" s="60">
        <v>12</v>
      </c>
      <c r="E16" s="68">
        <v>6.5000000000000002E-2</v>
      </c>
      <c r="F16" s="100"/>
      <c r="G16" s="106">
        <f t="shared" si="0"/>
        <v>0</v>
      </c>
    </row>
    <row r="17" spans="1:7" x14ac:dyDescent="0.25">
      <c r="A17" s="229"/>
      <c r="B17" s="44" t="s">
        <v>6</v>
      </c>
      <c r="C17" s="41" t="s">
        <v>26</v>
      </c>
      <c r="D17" s="60">
        <v>12</v>
      </c>
      <c r="E17" s="68">
        <v>6.5000000000000002E-2</v>
      </c>
      <c r="F17" s="100"/>
      <c r="G17" s="106">
        <f t="shared" si="0"/>
        <v>0</v>
      </c>
    </row>
    <row r="18" spans="1:7" ht="15.75" thickBot="1" x14ac:dyDescent="0.3">
      <c r="A18" s="239"/>
      <c r="B18" s="45">
        <v>1038</v>
      </c>
      <c r="C18" s="175" t="s">
        <v>27</v>
      </c>
      <c r="D18" s="130">
        <v>24</v>
      </c>
      <c r="E18" s="131">
        <v>6.5000000000000002E-2</v>
      </c>
      <c r="F18" s="100"/>
      <c r="G18" s="106">
        <f t="shared" si="0"/>
        <v>0</v>
      </c>
    </row>
    <row r="19" spans="1:7" x14ac:dyDescent="0.25">
      <c r="A19" s="231" t="s">
        <v>8</v>
      </c>
      <c r="B19" s="125">
        <v>2100</v>
      </c>
      <c r="C19" s="126" t="s">
        <v>28</v>
      </c>
      <c r="D19" s="62">
        <v>6</v>
      </c>
      <c r="E19" s="67">
        <v>6.5000000000000002E-2</v>
      </c>
      <c r="F19" s="139"/>
      <c r="G19" s="137">
        <f t="shared" si="0"/>
        <v>0</v>
      </c>
    </row>
    <row r="20" spans="1:7" x14ac:dyDescent="0.25">
      <c r="A20" s="231"/>
      <c r="B20" s="125">
        <v>2101</v>
      </c>
      <c r="C20" s="126" t="s">
        <v>135</v>
      </c>
      <c r="D20" s="127">
        <v>6</v>
      </c>
      <c r="E20" s="128">
        <v>6.5000000000000002E-2</v>
      </c>
      <c r="F20" s="140"/>
      <c r="G20" s="138">
        <f t="shared" si="0"/>
        <v>0</v>
      </c>
    </row>
    <row r="21" spans="1:7" x14ac:dyDescent="0.25">
      <c r="A21" s="231"/>
      <c r="B21" s="125">
        <v>2102</v>
      </c>
      <c r="C21" s="126" t="s">
        <v>138</v>
      </c>
      <c r="D21" s="127">
        <v>6</v>
      </c>
      <c r="E21" s="70">
        <v>9.7500000000000003E-2</v>
      </c>
      <c r="F21" s="141"/>
      <c r="G21" s="138">
        <f t="shared" si="0"/>
        <v>0</v>
      </c>
    </row>
    <row r="22" spans="1:7" x14ac:dyDescent="0.25">
      <c r="A22" s="231"/>
      <c r="B22" s="125">
        <v>2103</v>
      </c>
      <c r="C22" s="126" t="s">
        <v>139</v>
      </c>
      <c r="D22" s="127">
        <v>6</v>
      </c>
      <c r="E22" s="70">
        <v>9.7500000000000003E-2</v>
      </c>
      <c r="F22" s="141"/>
      <c r="G22" s="138">
        <f t="shared" si="0"/>
        <v>0</v>
      </c>
    </row>
    <row r="23" spans="1:7" x14ac:dyDescent="0.25">
      <c r="A23" s="231"/>
      <c r="B23" s="125">
        <v>2104</v>
      </c>
      <c r="C23" s="126" t="s">
        <v>140</v>
      </c>
      <c r="D23" s="127">
        <v>12</v>
      </c>
      <c r="E23" s="128">
        <v>6.5000000000000002E-2</v>
      </c>
      <c r="F23" s="141"/>
      <c r="G23" s="138">
        <f t="shared" si="0"/>
        <v>0</v>
      </c>
    </row>
    <row r="24" spans="1:7" x14ac:dyDescent="0.25">
      <c r="A24" s="231"/>
      <c r="B24" s="125">
        <v>2105</v>
      </c>
      <c r="C24" s="126" t="s">
        <v>147</v>
      </c>
      <c r="D24" s="127">
        <v>6</v>
      </c>
      <c r="E24" s="70">
        <v>9.7500000000000003E-2</v>
      </c>
      <c r="F24" s="141"/>
      <c r="G24" s="138">
        <f t="shared" si="0"/>
        <v>0</v>
      </c>
    </row>
    <row r="25" spans="1:7" x14ac:dyDescent="0.25">
      <c r="A25" s="231"/>
      <c r="B25" s="125">
        <v>2106</v>
      </c>
      <c r="C25" s="126" t="s">
        <v>148</v>
      </c>
      <c r="D25" s="127">
        <v>12</v>
      </c>
      <c r="E25" s="70">
        <v>9.7500000000000003E-2</v>
      </c>
      <c r="F25" s="141"/>
      <c r="G25" s="138">
        <f t="shared" si="0"/>
        <v>0</v>
      </c>
    </row>
    <row r="26" spans="1:7" x14ac:dyDescent="0.25">
      <c r="A26" s="231"/>
      <c r="B26" s="125">
        <v>2107</v>
      </c>
      <c r="C26" s="126" t="s">
        <v>149</v>
      </c>
      <c r="D26" s="127">
        <v>6</v>
      </c>
      <c r="E26" s="70">
        <v>9.7500000000000003E-2</v>
      </c>
      <c r="F26" s="141"/>
      <c r="G26" s="138">
        <f t="shared" si="0"/>
        <v>0</v>
      </c>
    </row>
    <row r="27" spans="1:7" x14ac:dyDescent="0.25">
      <c r="A27" s="231"/>
      <c r="B27" s="44">
        <v>2139</v>
      </c>
      <c r="C27" s="40" t="s">
        <v>166</v>
      </c>
      <c r="D27" s="60">
        <v>12</v>
      </c>
      <c r="E27" s="70">
        <v>9.7500000000000003E-2</v>
      </c>
      <c r="F27" s="141"/>
      <c r="G27" s="138">
        <f t="shared" si="0"/>
        <v>0</v>
      </c>
    </row>
    <row r="28" spans="1:7" x14ac:dyDescent="0.25">
      <c r="A28" s="231"/>
      <c r="B28" s="44">
        <v>2140</v>
      </c>
      <c r="C28" s="40" t="s">
        <v>167</v>
      </c>
      <c r="D28" s="60">
        <v>24</v>
      </c>
      <c r="E28" s="70">
        <v>9.7500000000000003E-2</v>
      </c>
      <c r="F28" s="141"/>
      <c r="G28" s="138">
        <f t="shared" si="0"/>
        <v>0</v>
      </c>
    </row>
    <row r="29" spans="1:7" x14ac:dyDescent="0.25">
      <c r="A29" s="231"/>
      <c r="B29" s="44">
        <v>2141</v>
      </c>
      <c r="C29" s="40" t="s">
        <v>168</v>
      </c>
      <c r="D29" s="60">
        <v>12</v>
      </c>
      <c r="E29" s="70">
        <v>9.7500000000000003E-2</v>
      </c>
      <c r="F29" s="141"/>
      <c r="G29" s="138">
        <f t="shared" si="0"/>
        <v>0</v>
      </c>
    </row>
    <row r="30" spans="1:7" x14ac:dyDescent="0.25">
      <c r="A30" s="231"/>
      <c r="B30" s="44">
        <v>2142</v>
      </c>
      <c r="C30" s="40" t="s">
        <v>169</v>
      </c>
      <c r="D30" s="60">
        <v>12</v>
      </c>
      <c r="E30" s="70">
        <v>9.7500000000000003E-2</v>
      </c>
      <c r="F30" s="141"/>
      <c r="G30" s="138">
        <f t="shared" si="0"/>
        <v>0</v>
      </c>
    </row>
    <row r="31" spans="1:7" x14ac:dyDescent="0.25">
      <c r="A31" s="231"/>
      <c r="B31" s="44">
        <v>2143</v>
      </c>
      <c r="C31" s="40" t="s">
        <v>170</v>
      </c>
      <c r="D31" s="60">
        <v>12</v>
      </c>
      <c r="E31" s="70">
        <v>9.7500000000000003E-2</v>
      </c>
      <c r="F31" s="141"/>
      <c r="G31" s="138">
        <f t="shared" si="0"/>
        <v>0</v>
      </c>
    </row>
    <row r="32" spans="1:7" x14ac:dyDescent="0.25">
      <c r="A32" s="231"/>
      <c r="B32" s="44">
        <v>2144</v>
      </c>
      <c r="C32" s="40" t="s">
        <v>171</v>
      </c>
      <c r="D32" s="60">
        <v>12</v>
      </c>
      <c r="E32" s="70">
        <v>9.7500000000000003E-2</v>
      </c>
      <c r="F32" s="141"/>
      <c r="G32" s="138">
        <f t="shared" si="0"/>
        <v>0</v>
      </c>
    </row>
    <row r="33" spans="1:7" x14ac:dyDescent="0.25">
      <c r="A33" s="231"/>
      <c r="B33" s="44">
        <v>2145</v>
      </c>
      <c r="C33" s="40" t="s">
        <v>172</v>
      </c>
      <c r="D33" s="60">
        <v>12</v>
      </c>
      <c r="E33" s="70">
        <v>9.7500000000000003E-2</v>
      </c>
      <c r="F33" s="141"/>
      <c r="G33" s="138">
        <f t="shared" si="0"/>
        <v>0</v>
      </c>
    </row>
    <row r="34" spans="1:7" x14ac:dyDescent="0.25">
      <c r="A34" s="231"/>
      <c r="B34" s="44">
        <v>2146</v>
      </c>
      <c r="C34" s="40" t="s">
        <v>173</v>
      </c>
      <c r="D34" s="60">
        <v>12</v>
      </c>
      <c r="E34" s="70">
        <v>9.7500000000000003E-2</v>
      </c>
      <c r="F34" s="141"/>
      <c r="G34" s="138">
        <f t="shared" si="0"/>
        <v>0</v>
      </c>
    </row>
    <row r="35" spans="1:7" x14ac:dyDescent="0.25">
      <c r="A35" s="231"/>
      <c r="B35" s="44">
        <v>2147</v>
      </c>
      <c r="C35" s="40" t="s">
        <v>178</v>
      </c>
      <c r="D35" s="60">
        <v>12</v>
      </c>
      <c r="E35" s="68">
        <v>6.5000000000000002E-2</v>
      </c>
      <c r="F35" s="141"/>
      <c r="G35" s="138">
        <f t="shared" si="0"/>
        <v>0</v>
      </c>
    </row>
    <row r="36" spans="1:7" x14ac:dyDescent="0.25">
      <c r="A36" s="231"/>
      <c r="B36" s="44">
        <v>2148</v>
      </c>
      <c r="C36" s="40" t="s">
        <v>174</v>
      </c>
      <c r="D36" s="60">
        <v>24</v>
      </c>
      <c r="E36" s="68">
        <v>6.5000000000000002E-2</v>
      </c>
      <c r="F36" s="141"/>
      <c r="G36" s="138">
        <f t="shared" si="0"/>
        <v>0</v>
      </c>
    </row>
    <row r="37" spans="1:7" x14ac:dyDescent="0.25">
      <c r="A37" s="231"/>
      <c r="B37" s="44">
        <v>2149</v>
      </c>
      <c r="C37" s="40" t="s">
        <v>175</v>
      </c>
      <c r="D37" s="60">
        <v>24</v>
      </c>
      <c r="E37" s="68">
        <v>6.5000000000000002E-2</v>
      </c>
      <c r="F37" s="141"/>
      <c r="G37" s="138">
        <f t="shared" ref="G37:G100" si="1">F37/1.06</f>
        <v>0</v>
      </c>
    </row>
    <row r="38" spans="1:7" x14ac:dyDescent="0.25">
      <c r="A38" s="231"/>
      <c r="B38" s="44">
        <v>2150</v>
      </c>
      <c r="C38" s="40" t="s">
        <v>176</v>
      </c>
      <c r="D38" s="60">
        <v>12</v>
      </c>
      <c r="E38" s="70">
        <v>9.7500000000000003E-2</v>
      </c>
      <c r="F38" s="141"/>
      <c r="G38" s="138">
        <f t="shared" si="1"/>
        <v>0</v>
      </c>
    </row>
    <row r="39" spans="1:7" x14ac:dyDescent="0.25">
      <c r="A39" s="231"/>
      <c r="B39" s="44">
        <v>2151</v>
      </c>
      <c r="C39" s="40" t="s">
        <v>177</v>
      </c>
      <c r="D39" s="60">
        <v>12</v>
      </c>
      <c r="E39" s="70">
        <v>6.5000000000000002E-2</v>
      </c>
      <c r="F39" s="141"/>
      <c r="G39" s="138">
        <f t="shared" si="1"/>
        <v>0</v>
      </c>
    </row>
    <row r="40" spans="1:7" x14ac:dyDescent="0.25">
      <c r="A40" s="231"/>
      <c r="B40" s="44">
        <v>2152</v>
      </c>
      <c r="C40" s="40" t="s">
        <v>150</v>
      </c>
      <c r="D40" s="60">
        <v>12</v>
      </c>
      <c r="E40" s="70"/>
      <c r="F40" s="141"/>
      <c r="G40" s="138">
        <f t="shared" si="1"/>
        <v>0</v>
      </c>
    </row>
    <row r="41" spans="1:7" x14ac:dyDescent="0.25">
      <c r="A41" s="231"/>
      <c r="B41" s="44">
        <v>2513</v>
      </c>
      <c r="C41" s="40" t="s">
        <v>29</v>
      </c>
      <c r="D41" s="60">
        <v>12</v>
      </c>
      <c r="E41" s="68">
        <v>6.5000000000000002E-2</v>
      </c>
      <c r="F41" s="141"/>
      <c r="G41" s="138">
        <f t="shared" si="1"/>
        <v>0</v>
      </c>
    </row>
    <row r="42" spans="1:7" x14ac:dyDescent="0.25">
      <c r="A42" s="231"/>
      <c r="B42" s="44">
        <v>2601</v>
      </c>
      <c r="C42" s="40" t="s">
        <v>30</v>
      </c>
      <c r="D42" s="60">
        <v>12</v>
      </c>
      <c r="E42" s="70">
        <v>9.7500000000000003E-2</v>
      </c>
      <c r="F42" s="141"/>
      <c r="G42" s="138">
        <f t="shared" si="1"/>
        <v>0</v>
      </c>
    </row>
    <row r="43" spans="1:7" x14ac:dyDescent="0.25">
      <c r="A43" s="231"/>
      <c r="B43" s="44">
        <v>2602</v>
      </c>
      <c r="C43" s="40" t="s">
        <v>31</v>
      </c>
      <c r="D43" s="60">
        <v>12</v>
      </c>
      <c r="E43" s="70">
        <v>9.7500000000000003E-2</v>
      </c>
      <c r="F43" s="141"/>
      <c r="G43" s="138">
        <f t="shared" si="1"/>
        <v>0</v>
      </c>
    </row>
    <row r="44" spans="1:7" x14ac:dyDescent="0.25">
      <c r="A44" s="231"/>
      <c r="B44" s="44">
        <v>2701</v>
      </c>
      <c r="C44" s="40" t="s">
        <v>32</v>
      </c>
      <c r="D44" s="60">
        <v>12</v>
      </c>
      <c r="E44" s="70">
        <v>9.7500000000000003E-2</v>
      </c>
      <c r="F44" s="141"/>
      <c r="G44" s="138">
        <f t="shared" si="1"/>
        <v>0</v>
      </c>
    </row>
    <row r="45" spans="1:7" x14ac:dyDescent="0.25">
      <c r="A45" s="231"/>
      <c r="B45" s="44">
        <v>2702</v>
      </c>
      <c r="C45" s="40" t="s">
        <v>33</v>
      </c>
      <c r="D45" s="60">
        <v>12</v>
      </c>
      <c r="E45" s="70">
        <v>9.7500000000000003E-2</v>
      </c>
      <c r="F45" s="141"/>
      <c r="G45" s="138">
        <f t="shared" si="1"/>
        <v>0</v>
      </c>
    </row>
    <row r="46" spans="1:7" x14ac:dyDescent="0.25">
      <c r="A46" s="231"/>
      <c r="B46" s="44">
        <v>2703</v>
      </c>
      <c r="C46" s="40" t="s">
        <v>34</v>
      </c>
      <c r="D46" s="60">
        <v>12</v>
      </c>
      <c r="E46" s="70">
        <v>9.7500000000000003E-2</v>
      </c>
      <c r="F46" s="141"/>
      <c r="G46" s="138">
        <f t="shared" si="1"/>
        <v>0</v>
      </c>
    </row>
    <row r="47" spans="1:7" x14ac:dyDescent="0.25">
      <c r="A47" s="231"/>
      <c r="B47" s="44">
        <v>2750</v>
      </c>
      <c r="C47" s="40" t="s">
        <v>179</v>
      </c>
      <c r="D47" s="60">
        <v>8</v>
      </c>
      <c r="E47" s="68">
        <v>6.5000000000000002E-2</v>
      </c>
      <c r="F47" s="141"/>
      <c r="G47" s="138">
        <f t="shared" si="1"/>
        <v>0</v>
      </c>
    </row>
    <row r="48" spans="1:7" x14ac:dyDescent="0.25">
      <c r="A48" s="231"/>
      <c r="B48" s="44">
        <v>2751</v>
      </c>
      <c r="C48" s="40" t="s">
        <v>35</v>
      </c>
      <c r="D48" s="60">
        <v>12</v>
      </c>
      <c r="E48" s="70">
        <v>9.7500000000000003E-2</v>
      </c>
      <c r="F48" s="141"/>
      <c r="G48" s="138">
        <f t="shared" si="1"/>
        <v>0</v>
      </c>
    </row>
    <row r="49" spans="1:7" x14ac:dyDescent="0.25">
      <c r="A49" s="231"/>
      <c r="B49" s="44">
        <v>2752</v>
      </c>
      <c r="C49" s="40" t="s">
        <v>180</v>
      </c>
      <c r="D49" s="60">
        <v>24</v>
      </c>
      <c r="E49" s="68">
        <v>6.5000000000000002E-2</v>
      </c>
      <c r="F49" s="141"/>
      <c r="G49" s="138">
        <f t="shared" si="1"/>
        <v>0</v>
      </c>
    </row>
    <row r="50" spans="1:7" x14ac:dyDescent="0.25">
      <c r="A50" s="231"/>
      <c r="B50" s="44">
        <v>2753</v>
      </c>
      <c r="C50" s="40" t="s">
        <v>181</v>
      </c>
      <c r="D50" s="60">
        <v>12</v>
      </c>
      <c r="E50" s="68">
        <v>6.5000000000000002E-2</v>
      </c>
      <c r="F50" s="141"/>
      <c r="G50" s="138">
        <f t="shared" si="1"/>
        <v>0</v>
      </c>
    </row>
    <row r="51" spans="1:7" x14ac:dyDescent="0.25">
      <c r="A51" s="231"/>
      <c r="B51" s="44">
        <v>2754</v>
      </c>
      <c r="C51" s="40" t="s">
        <v>86</v>
      </c>
      <c r="D51" s="60">
        <v>36</v>
      </c>
      <c r="E51" s="70">
        <v>9.7500000000000003E-2</v>
      </c>
      <c r="F51" s="141"/>
      <c r="G51" s="138">
        <f t="shared" si="1"/>
        <v>0</v>
      </c>
    </row>
    <row r="52" spans="1:7" x14ac:dyDescent="0.25">
      <c r="A52" s="231"/>
      <c r="B52" s="44">
        <v>2755</v>
      </c>
      <c r="C52" s="40" t="s">
        <v>87</v>
      </c>
      <c r="D52" s="60">
        <v>12</v>
      </c>
      <c r="E52" s="70">
        <v>9.7500000000000003E-2</v>
      </c>
      <c r="F52" s="141"/>
      <c r="G52" s="138">
        <f t="shared" si="1"/>
        <v>0</v>
      </c>
    </row>
    <row r="53" spans="1:7" ht="15.75" thickBot="1" x14ac:dyDescent="0.3">
      <c r="A53" s="231"/>
      <c r="B53" s="44">
        <v>2802</v>
      </c>
      <c r="C53" s="40" t="s">
        <v>36</v>
      </c>
      <c r="D53" s="60">
        <v>6</v>
      </c>
      <c r="E53" s="71">
        <v>9.7500000000000003E-2</v>
      </c>
      <c r="F53" s="141"/>
      <c r="G53" s="138">
        <f t="shared" si="1"/>
        <v>0</v>
      </c>
    </row>
    <row r="54" spans="1:7" x14ac:dyDescent="0.25">
      <c r="A54" s="233" t="s">
        <v>9</v>
      </c>
      <c r="B54" s="54">
        <v>3901</v>
      </c>
      <c r="C54" s="56" t="s">
        <v>37</v>
      </c>
      <c r="D54" s="54">
        <v>12</v>
      </c>
      <c r="E54" s="72">
        <v>6.5000000000000002E-2</v>
      </c>
      <c r="F54" s="165"/>
      <c r="G54" s="105">
        <f t="shared" si="1"/>
        <v>0</v>
      </c>
    </row>
    <row r="55" spans="1:7" x14ac:dyDescent="0.25">
      <c r="A55" s="234"/>
      <c r="B55" s="55">
        <v>3905</v>
      </c>
      <c r="C55" s="47" t="s">
        <v>38</v>
      </c>
      <c r="D55" s="44">
        <v>24</v>
      </c>
      <c r="E55" s="68">
        <v>6.5000000000000002E-2</v>
      </c>
      <c r="F55" s="166"/>
      <c r="G55" s="106">
        <f t="shared" si="1"/>
        <v>0</v>
      </c>
    </row>
    <row r="56" spans="1:7" x14ac:dyDescent="0.25">
      <c r="A56" s="234"/>
      <c r="B56" s="55">
        <v>3907</v>
      </c>
      <c r="C56" s="57" t="s">
        <v>39</v>
      </c>
      <c r="D56" s="55">
        <v>12</v>
      </c>
      <c r="E56" s="68">
        <v>6.5000000000000002E-2</v>
      </c>
      <c r="F56" s="166"/>
      <c r="G56" s="106">
        <f t="shared" si="1"/>
        <v>0</v>
      </c>
    </row>
    <row r="57" spans="1:7" x14ac:dyDescent="0.25">
      <c r="A57" s="234"/>
      <c r="B57" s="55">
        <v>3952</v>
      </c>
      <c r="C57" s="47" t="s">
        <v>40</v>
      </c>
      <c r="D57" s="44">
        <v>6</v>
      </c>
      <c r="E57" s="68">
        <v>6.5000000000000002E-2</v>
      </c>
      <c r="F57" s="166"/>
      <c r="G57" s="106">
        <f t="shared" si="1"/>
        <v>0</v>
      </c>
    </row>
    <row r="58" spans="1:7" x14ac:dyDescent="0.25">
      <c r="A58" s="234"/>
      <c r="B58" s="55">
        <v>3953</v>
      </c>
      <c r="C58" s="47" t="s">
        <v>41</v>
      </c>
      <c r="D58" s="44">
        <v>6</v>
      </c>
      <c r="E58" s="68">
        <v>6.5000000000000002E-2</v>
      </c>
      <c r="F58" s="166"/>
      <c r="G58" s="106">
        <f t="shared" si="1"/>
        <v>0</v>
      </c>
    </row>
    <row r="59" spans="1:7" x14ac:dyDescent="0.25">
      <c r="A59" s="234"/>
      <c r="B59" s="142">
        <v>3954</v>
      </c>
      <c r="C59" s="143" t="s">
        <v>42</v>
      </c>
      <c r="D59" s="44">
        <v>12</v>
      </c>
      <c r="E59" s="68">
        <v>6.5000000000000002E-2</v>
      </c>
      <c r="F59" s="166"/>
      <c r="G59" s="106">
        <f t="shared" si="1"/>
        <v>0</v>
      </c>
    </row>
    <row r="60" spans="1:7" x14ac:dyDescent="0.25">
      <c r="A60" s="234"/>
      <c r="B60" s="142">
        <v>3955</v>
      </c>
      <c r="C60" s="143" t="s">
        <v>141</v>
      </c>
      <c r="D60" s="44">
        <v>12</v>
      </c>
      <c r="E60" s="68">
        <v>6.5000000000000002E-2</v>
      </c>
      <c r="F60" s="166"/>
      <c r="G60" s="106">
        <f t="shared" si="1"/>
        <v>0</v>
      </c>
    </row>
    <row r="61" spans="1:7" x14ac:dyDescent="0.25">
      <c r="A61" s="234"/>
      <c r="B61" s="142">
        <v>3956</v>
      </c>
      <c r="C61" s="143" t="s">
        <v>142</v>
      </c>
      <c r="D61" s="44">
        <v>12</v>
      </c>
      <c r="E61" s="68">
        <v>6.5000000000000002E-2</v>
      </c>
      <c r="F61" s="166"/>
      <c r="G61" s="106">
        <f t="shared" si="1"/>
        <v>0</v>
      </c>
    </row>
    <row r="62" spans="1:7" x14ac:dyDescent="0.25">
      <c r="A62" s="235"/>
      <c r="B62" s="55">
        <v>3957</v>
      </c>
      <c r="C62" s="47" t="s">
        <v>143</v>
      </c>
      <c r="D62" s="44">
        <v>9</v>
      </c>
      <c r="E62" s="169">
        <v>6.5000000000000002E-2</v>
      </c>
      <c r="F62" s="166"/>
      <c r="G62" s="170">
        <f t="shared" ref="G62" si="2">F62/1.06</f>
        <v>0</v>
      </c>
    </row>
    <row r="63" spans="1:7" x14ac:dyDescent="0.25">
      <c r="A63" s="235"/>
      <c r="B63" s="171">
        <v>3958</v>
      </c>
      <c r="C63" s="164" t="s">
        <v>151</v>
      </c>
      <c r="D63" s="172">
        <v>12</v>
      </c>
      <c r="E63" s="163">
        <v>6.5000000000000002E-2</v>
      </c>
      <c r="F63" s="167"/>
      <c r="G63" s="106">
        <f t="shared" si="1"/>
        <v>0</v>
      </c>
    </row>
    <row r="64" spans="1:7" x14ac:dyDescent="0.25">
      <c r="A64" s="235"/>
      <c r="B64" s="142">
        <v>3959</v>
      </c>
      <c r="C64" s="162" t="s">
        <v>152</v>
      </c>
      <c r="D64" s="129">
        <v>12</v>
      </c>
      <c r="E64" s="131">
        <v>6.5000000000000002E-2</v>
      </c>
      <c r="F64" s="168"/>
      <c r="G64" s="106">
        <f t="shared" si="1"/>
        <v>0</v>
      </c>
    </row>
    <row r="65" spans="1:7" ht="15.75" thickBot="1" x14ac:dyDescent="0.3">
      <c r="A65" s="235"/>
      <c r="B65" s="142">
        <v>3960</v>
      </c>
      <c r="C65" s="143" t="s">
        <v>153</v>
      </c>
      <c r="D65" s="129">
        <v>12</v>
      </c>
      <c r="E65" s="131">
        <v>6.5000000000000002E-2</v>
      </c>
      <c r="F65" s="168"/>
      <c r="G65" s="106">
        <f t="shared" si="1"/>
        <v>0</v>
      </c>
    </row>
    <row r="66" spans="1:7" x14ac:dyDescent="0.25">
      <c r="A66" s="236" t="s">
        <v>10</v>
      </c>
      <c r="B66" s="43">
        <v>4000</v>
      </c>
      <c r="C66" s="48" t="s">
        <v>144</v>
      </c>
      <c r="D66" s="59">
        <v>12</v>
      </c>
      <c r="E66" s="67">
        <v>6.5000000000000002E-2</v>
      </c>
      <c r="F66" s="178"/>
      <c r="G66" s="105">
        <f t="shared" si="1"/>
        <v>0</v>
      </c>
    </row>
    <row r="67" spans="1:7" x14ac:dyDescent="0.25">
      <c r="A67" s="237"/>
      <c r="B67" s="144">
        <v>4001</v>
      </c>
      <c r="C67" s="145" t="s">
        <v>43</v>
      </c>
      <c r="D67" s="146">
        <v>24</v>
      </c>
      <c r="E67" s="128">
        <v>6.5000000000000002E-2</v>
      </c>
      <c r="F67" s="179"/>
      <c r="G67" s="106">
        <f t="shared" si="1"/>
        <v>0</v>
      </c>
    </row>
    <row r="68" spans="1:7" x14ac:dyDescent="0.25">
      <c r="A68" s="237"/>
      <c r="B68" s="44">
        <v>4002</v>
      </c>
      <c r="C68" s="40" t="s">
        <v>44</v>
      </c>
      <c r="D68" s="60">
        <v>12</v>
      </c>
      <c r="E68" s="68">
        <v>6.5000000000000002E-2</v>
      </c>
      <c r="F68" s="179"/>
      <c r="G68" s="106">
        <f t="shared" si="1"/>
        <v>0</v>
      </c>
    </row>
    <row r="69" spans="1:7" x14ac:dyDescent="0.25">
      <c r="A69" s="237"/>
      <c r="B69" s="44">
        <v>4003</v>
      </c>
      <c r="C69" s="40" t="s">
        <v>45</v>
      </c>
      <c r="D69" s="60">
        <v>12</v>
      </c>
      <c r="E69" s="68">
        <v>6.5000000000000002E-2</v>
      </c>
      <c r="F69" s="179"/>
      <c r="G69" s="106">
        <f t="shared" si="1"/>
        <v>0</v>
      </c>
    </row>
    <row r="70" spans="1:7" x14ac:dyDescent="0.25">
      <c r="A70" s="237"/>
      <c r="B70" s="44">
        <v>4013</v>
      </c>
      <c r="C70" s="40" t="s">
        <v>46</v>
      </c>
      <c r="D70" s="60">
        <v>24</v>
      </c>
      <c r="E70" s="68">
        <v>6.5000000000000002E-2</v>
      </c>
      <c r="F70" s="179"/>
      <c r="G70" s="106">
        <f t="shared" si="1"/>
        <v>0</v>
      </c>
    </row>
    <row r="71" spans="1:7" x14ac:dyDescent="0.25">
      <c r="A71" s="237"/>
      <c r="B71" s="44">
        <v>4016</v>
      </c>
      <c r="C71" s="40" t="s">
        <v>47</v>
      </c>
      <c r="D71" s="60">
        <v>12</v>
      </c>
      <c r="E71" s="68">
        <v>6.5000000000000002E-2</v>
      </c>
      <c r="F71" s="179"/>
      <c r="G71" s="106">
        <f t="shared" si="1"/>
        <v>0</v>
      </c>
    </row>
    <row r="72" spans="1:7" x14ac:dyDescent="0.25">
      <c r="A72" s="237"/>
      <c r="B72" s="44">
        <v>4017</v>
      </c>
      <c r="C72" s="40" t="s">
        <v>48</v>
      </c>
      <c r="D72" s="60">
        <v>12</v>
      </c>
      <c r="E72" s="68">
        <v>6.5000000000000002E-2</v>
      </c>
      <c r="F72" s="179"/>
      <c r="G72" s="106">
        <f t="shared" si="1"/>
        <v>0</v>
      </c>
    </row>
    <row r="73" spans="1:7" x14ac:dyDescent="0.25">
      <c r="A73" s="237"/>
      <c r="B73" s="44">
        <v>4019</v>
      </c>
      <c r="C73" s="40" t="s">
        <v>49</v>
      </c>
      <c r="D73" s="60">
        <v>6</v>
      </c>
      <c r="E73" s="68">
        <v>6.5000000000000002E-2</v>
      </c>
      <c r="F73" s="179"/>
      <c r="G73" s="106">
        <f t="shared" si="1"/>
        <v>0</v>
      </c>
    </row>
    <row r="74" spans="1:7" x14ac:dyDescent="0.25">
      <c r="A74" s="237"/>
      <c r="B74" s="44">
        <v>4020</v>
      </c>
      <c r="C74" s="40" t="s">
        <v>50</v>
      </c>
      <c r="D74" s="60">
        <v>24</v>
      </c>
      <c r="E74" s="68">
        <v>6.5000000000000002E-2</v>
      </c>
      <c r="F74" s="179"/>
      <c r="G74" s="106">
        <f t="shared" si="1"/>
        <v>0</v>
      </c>
    </row>
    <row r="75" spans="1:7" x14ac:dyDescent="0.25">
      <c r="A75" s="237"/>
      <c r="B75" s="44">
        <v>4029</v>
      </c>
      <c r="C75" s="40" t="s">
        <v>51</v>
      </c>
      <c r="D75" s="60">
        <v>12</v>
      </c>
      <c r="E75" s="68">
        <v>6.5000000000000002E-2</v>
      </c>
      <c r="F75" s="179"/>
      <c r="G75" s="106">
        <f t="shared" si="1"/>
        <v>0</v>
      </c>
    </row>
    <row r="76" spans="1:7" x14ac:dyDescent="0.25">
      <c r="A76" s="237"/>
      <c r="B76" s="44">
        <v>4030</v>
      </c>
      <c r="C76" s="40" t="s">
        <v>52</v>
      </c>
      <c r="D76" s="60">
        <v>9</v>
      </c>
      <c r="E76" s="68">
        <v>6.5000000000000002E-2</v>
      </c>
      <c r="F76" s="179"/>
      <c r="G76" s="106">
        <f t="shared" si="1"/>
        <v>0</v>
      </c>
    </row>
    <row r="77" spans="1:7" x14ac:dyDescent="0.25">
      <c r="A77" s="237"/>
      <c r="B77" s="44">
        <v>4033</v>
      </c>
      <c r="C77" s="40" t="s">
        <v>53</v>
      </c>
      <c r="D77" s="60">
        <v>12</v>
      </c>
      <c r="E77" s="68">
        <v>6.5000000000000002E-2</v>
      </c>
      <c r="F77" s="179"/>
      <c r="G77" s="106">
        <f t="shared" si="1"/>
        <v>0</v>
      </c>
    </row>
    <row r="78" spans="1:7" x14ac:dyDescent="0.25">
      <c r="A78" s="237"/>
      <c r="B78" s="44">
        <v>4035</v>
      </c>
      <c r="C78" s="40" t="s">
        <v>54</v>
      </c>
      <c r="D78" s="60">
        <v>9</v>
      </c>
      <c r="E78" s="68">
        <v>6.5000000000000002E-2</v>
      </c>
      <c r="F78" s="179"/>
      <c r="G78" s="106">
        <f t="shared" si="1"/>
        <v>0</v>
      </c>
    </row>
    <row r="79" spans="1:7" x14ac:dyDescent="0.25">
      <c r="A79" s="237"/>
      <c r="B79" s="44">
        <v>4037</v>
      </c>
      <c r="C79" s="40" t="s">
        <v>55</v>
      </c>
      <c r="D79" s="60">
        <v>12</v>
      </c>
      <c r="E79" s="68">
        <v>6.5000000000000002E-2</v>
      </c>
      <c r="F79" s="179"/>
      <c r="G79" s="106">
        <f t="shared" si="1"/>
        <v>0</v>
      </c>
    </row>
    <row r="80" spans="1:7" x14ac:dyDescent="0.25">
      <c r="A80" s="237"/>
      <c r="B80" s="44">
        <v>4038</v>
      </c>
      <c r="C80" s="40" t="s">
        <v>56</v>
      </c>
      <c r="D80" s="60">
        <v>12</v>
      </c>
      <c r="E80" s="68">
        <v>6.5000000000000002E-2</v>
      </c>
      <c r="F80" s="179"/>
      <c r="G80" s="106">
        <f t="shared" si="1"/>
        <v>0</v>
      </c>
    </row>
    <row r="81" spans="1:7" x14ac:dyDescent="0.25">
      <c r="A81" s="237"/>
      <c r="B81" s="44">
        <v>4039</v>
      </c>
      <c r="C81" s="40" t="s">
        <v>57</v>
      </c>
      <c r="D81" s="60">
        <v>12</v>
      </c>
      <c r="E81" s="68">
        <v>6.5000000000000002E-2</v>
      </c>
      <c r="F81" s="179"/>
      <c r="G81" s="106">
        <f t="shared" si="1"/>
        <v>0</v>
      </c>
    </row>
    <row r="82" spans="1:7" x14ac:dyDescent="0.25">
      <c r="A82" s="237"/>
      <c r="B82" s="44">
        <v>4042</v>
      </c>
      <c r="C82" s="40" t="s">
        <v>58</v>
      </c>
      <c r="D82" s="60">
        <v>6</v>
      </c>
      <c r="E82" s="68">
        <v>6.5000000000000002E-2</v>
      </c>
      <c r="F82" s="179"/>
      <c r="G82" s="106">
        <f t="shared" si="1"/>
        <v>0</v>
      </c>
    </row>
    <row r="83" spans="1:7" x14ac:dyDescent="0.25">
      <c r="A83" s="237"/>
      <c r="B83" s="44">
        <v>4043</v>
      </c>
      <c r="C83" s="40" t="s">
        <v>59</v>
      </c>
      <c r="D83" s="60">
        <v>6</v>
      </c>
      <c r="E83" s="68">
        <v>6.5000000000000002E-2</v>
      </c>
      <c r="F83" s="179"/>
      <c r="G83" s="106">
        <f t="shared" si="1"/>
        <v>0</v>
      </c>
    </row>
    <row r="84" spans="1:7" x14ac:dyDescent="0.25">
      <c r="A84" s="237"/>
      <c r="B84" s="44">
        <v>4044</v>
      </c>
      <c r="C84" s="40" t="s">
        <v>60</v>
      </c>
      <c r="D84" s="60">
        <v>6</v>
      </c>
      <c r="E84" s="68">
        <v>6.5000000000000002E-2</v>
      </c>
      <c r="F84" s="179"/>
      <c r="G84" s="106">
        <f t="shared" si="1"/>
        <v>0</v>
      </c>
    </row>
    <row r="85" spans="1:7" x14ac:dyDescent="0.25">
      <c r="A85" s="237"/>
      <c r="B85" s="44">
        <v>4045</v>
      </c>
      <c r="C85" s="40" t="s">
        <v>61</v>
      </c>
      <c r="D85" s="60">
        <v>6</v>
      </c>
      <c r="E85" s="68">
        <v>6.5000000000000002E-2</v>
      </c>
      <c r="F85" s="179"/>
      <c r="G85" s="106">
        <f t="shared" si="1"/>
        <v>0</v>
      </c>
    </row>
    <row r="86" spans="1:7" x14ac:dyDescent="0.25">
      <c r="A86" s="237"/>
      <c r="B86" s="44">
        <v>4046</v>
      </c>
      <c r="C86" s="40" t="s">
        <v>62</v>
      </c>
      <c r="D86" s="60">
        <v>12</v>
      </c>
      <c r="E86" s="68">
        <v>6.5000000000000002E-2</v>
      </c>
      <c r="F86" s="179"/>
      <c r="G86" s="106">
        <f t="shared" si="1"/>
        <v>0</v>
      </c>
    </row>
    <row r="87" spans="1:7" x14ac:dyDescent="0.25">
      <c r="A87" s="237"/>
      <c r="B87" s="44">
        <v>4047</v>
      </c>
      <c r="C87" s="40" t="s">
        <v>63</v>
      </c>
      <c r="D87" s="60">
        <v>12</v>
      </c>
      <c r="E87" s="68">
        <v>6.5000000000000002E-2</v>
      </c>
      <c r="F87" s="179"/>
      <c r="G87" s="106">
        <f t="shared" si="1"/>
        <v>0</v>
      </c>
    </row>
    <row r="88" spans="1:7" x14ac:dyDescent="0.25">
      <c r="A88" s="237"/>
      <c r="B88" s="44">
        <v>4048</v>
      </c>
      <c r="C88" s="40" t="s">
        <v>160</v>
      </c>
      <c r="D88" s="60">
        <v>12</v>
      </c>
      <c r="E88" s="68">
        <v>6.5000000000000002E-2</v>
      </c>
      <c r="F88" s="179"/>
      <c r="G88" s="106">
        <f t="shared" si="1"/>
        <v>0</v>
      </c>
    </row>
    <row r="89" spans="1:7" x14ac:dyDescent="0.25">
      <c r="A89" s="237"/>
      <c r="B89" s="44">
        <v>4049</v>
      </c>
      <c r="C89" s="40" t="s">
        <v>64</v>
      </c>
      <c r="D89" s="60">
        <v>12</v>
      </c>
      <c r="E89" s="68">
        <v>6.5000000000000002E-2</v>
      </c>
      <c r="F89" s="179"/>
      <c r="G89" s="106">
        <f t="shared" si="1"/>
        <v>0</v>
      </c>
    </row>
    <row r="90" spans="1:7" x14ac:dyDescent="0.25">
      <c r="A90" s="237"/>
      <c r="B90" s="44">
        <v>4050</v>
      </c>
      <c r="C90" s="40" t="s">
        <v>65</v>
      </c>
      <c r="D90" s="60">
        <v>12</v>
      </c>
      <c r="E90" s="68">
        <v>6.5000000000000002E-2</v>
      </c>
      <c r="F90" s="179"/>
      <c r="G90" s="106">
        <f t="shared" si="1"/>
        <v>0</v>
      </c>
    </row>
    <row r="91" spans="1:7" x14ac:dyDescent="0.25">
      <c r="A91" s="237"/>
      <c r="B91" s="44">
        <v>4051</v>
      </c>
      <c r="C91" s="40" t="s">
        <v>66</v>
      </c>
      <c r="D91" s="60">
        <v>12</v>
      </c>
      <c r="E91" s="68">
        <v>6.5000000000000002E-2</v>
      </c>
      <c r="F91" s="179"/>
      <c r="G91" s="106">
        <f t="shared" si="1"/>
        <v>0</v>
      </c>
    </row>
    <row r="92" spans="1:7" x14ac:dyDescent="0.25">
      <c r="A92" s="237"/>
      <c r="B92" s="44">
        <v>4052</v>
      </c>
      <c r="C92" s="40" t="s">
        <v>154</v>
      </c>
      <c r="D92" s="60">
        <v>12</v>
      </c>
      <c r="E92" s="68">
        <v>6.5000000000000002E-2</v>
      </c>
      <c r="F92" s="179"/>
      <c r="G92" s="106">
        <f t="shared" si="1"/>
        <v>0</v>
      </c>
    </row>
    <row r="93" spans="1:7" x14ac:dyDescent="0.25">
      <c r="A93" s="237"/>
      <c r="B93" s="44">
        <v>4054</v>
      </c>
      <c r="C93" s="40" t="s">
        <v>67</v>
      </c>
      <c r="D93" s="60">
        <v>12</v>
      </c>
      <c r="E93" s="68">
        <v>6.5000000000000002E-2</v>
      </c>
      <c r="F93" s="179"/>
      <c r="G93" s="106">
        <f t="shared" si="1"/>
        <v>0</v>
      </c>
    </row>
    <row r="94" spans="1:7" x14ac:dyDescent="0.25">
      <c r="A94" s="237"/>
      <c r="B94" s="44">
        <v>4055</v>
      </c>
      <c r="C94" s="40" t="s">
        <v>68</v>
      </c>
      <c r="D94" s="60">
        <v>12</v>
      </c>
      <c r="E94" s="68">
        <v>6.5000000000000002E-2</v>
      </c>
      <c r="F94" s="179"/>
      <c r="G94" s="106">
        <f t="shared" si="1"/>
        <v>0</v>
      </c>
    </row>
    <row r="95" spans="1:7" x14ac:dyDescent="0.25">
      <c r="A95" s="237"/>
      <c r="B95" s="44">
        <v>4056</v>
      </c>
      <c r="C95" s="40" t="s">
        <v>69</v>
      </c>
      <c r="D95" s="60">
        <v>24</v>
      </c>
      <c r="E95" s="70">
        <v>3.2500000000000001E-2</v>
      </c>
      <c r="F95" s="179"/>
      <c r="G95" s="106">
        <f t="shared" si="1"/>
        <v>0</v>
      </c>
    </row>
    <row r="96" spans="1:7" x14ac:dyDescent="0.25">
      <c r="A96" s="237"/>
      <c r="B96" s="44">
        <v>4057</v>
      </c>
      <c r="C96" s="40" t="s">
        <v>70</v>
      </c>
      <c r="D96" s="60">
        <v>12</v>
      </c>
      <c r="E96" s="68">
        <v>6.5000000000000002E-2</v>
      </c>
      <c r="F96" s="179"/>
      <c r="G96" s="106">
        <f t="shared" si="1"/>
        <v>0</v>
      </c>
    </row>
    <row r="97" spans="1:7" x14ac:dyDescent="0.25">
      <c r="A97" s="237"/>
      <c r="B97" s="44">
        <v>4058</v>
      </c>
      <c r="C97" s="40" t="s">
        <v>88</v>
      </c>
      <c r="D97" s="60">
        <v>12</v>
      </c>
      <c r="E97" s="68">
        <v>6.5000000000000002E-2</v>
      </c>
      <c r="F97" s="179"/>
      <c r="G97" s="106">
        <f t="shared" si="1"/>
        <v>0</v>
      </c>
    </row>
    <row r="98" spans="1:7" x14ac:dyDescent="0.25">
      <c r="A98" s="237"/>
      <c r="B98" s="44">
        <v>4059</v>
      </c>
      <c r="C98" s="40" t="s">
        <v>81</v>
      </c>
      <c r="D98" s="60">
        <v>24</v>
      </c>
      <c r="E98" s="70">
        <v>3.2500000000000001E-2</v>
      </c>
      <c r="F98" s="179"/>
      <c r="G98" s="106">
        <f t="shared" si="1"/>
        <v>0</v>
      </c>
    </row>
    <row r="99" spans="1:7" x14ac:dyDescent="0.25">
      <c r="A99" s="237"/>
      <c r="B99" s="44">
        <v>4060</v>
      </c>
      <c r="C99" s="40" t="s">
        <v>89</v>
      </c>
      <c r="D99" s="60">
        <v>24</v>
      </c>
      <c r="E99" s="70">
        <v>3.2500000000000001E-2</v>
      </c>
      <c r="F99" s="179"/>
      <c r="G99" s="106">
        <f t="shared" si="1"/>
        <v>0</v>
      </c>
    </row>
    <row r="100" spans="1:7" x14ac:dyDescent="0.25">
      <c r="A100" s="237"/>
      <c r="B100" s="44">
        <v>4061</v>
      </c>
      <c r="C100" s="40" t="s">
        <v>90</v>
      </c>
      <c r="D100" s="60">
        <v>12</v>
      </c>
      <c r="E100" s="70">
        <v>3.2500000000000001E-2</v>
      </c>
      <c r="F100" s="179"/>
      <c r="G100" s="106">
        <f t="shared" si="1"/>
        <v>0</v>
      </c>
    </row>
    <row r="101" spans="1:7" x14ac:dyDescent="0.25">
      <c r="A101" s="237"/>
      <c r="B101" s="44">
        <v>4063</v>
      </c>
      <c r="C101" s="40" t="s">
        <v>161</v>
      </c>
      <c r="D101" s="60">
        <v>12</v>
      </c>
      <c r="E101" s="68">
        <v>6.5000000000000002E-2</v>
      </c>
      <c r="F101" s="179"/>
      <c r="G101" s="106">
        <f t="shared" ref="G101:G119" si="3">F101/1.06</f>
        <v>0</v>
      </c>
    </row>
    <row r="102" spans="1:7" x14ac:dyDescent="0.25">
      <c r="A102" s="237"/>
      <c r="B102" s="44">
        <v>4065</v>
      </c>
      <c r="C102" s="40" t="s">
        <v>157</v>
      </c>
      <c r="D102" s="60">
        <v>12</v>
      </c>
      <c r="E102" s="68">
        <v>6.5000000000000002E-2</v>
      </c>
      <c r="F102" s="179"/>
      <c r="G102" s="106">
        <f t="shared" si="3"/>
        <v>0</v>
      </c>
    </row>
    <row r="103" spans="1:7" x14ac:dyDescent="0.25">
      <c r="A103" s="237"/>
      <c r="B103" s="44">
        <v>4066</v>
      </c>
      <c r="C103" s="40" t="s">
        <v>155</v>
      </c>
      <c r="D103" s="60">
        <v>12</v>
      </c>
      <c r="E103" s="68">
        <v>6.5000000000000002E-2</v>
      </c>
      <c r="F103" s="179"/>
      <c r="G103" s="106">
        <f t="shared" si="3"/>
        <v>0</v>
      </c>
    </row>
    <row r="104" spans="1:7" x14ac:dyDescent="0.25">
      <c r="A104" s="237"/>
      <c r="B104" s="44">
        <v>4067</v>
      </c>
      <c r="C104" s="40" t="s">
        <v>156</v>
      </c>
      <c r="D104" s="60">
        <v>12</v>
      </c>
      <c r="E104" s="68">
        <v>6.5000000000000002E-2</v>
      </c>
      <c r="F104" s="179"/>
      <c r="G104" s="106">
        <f t="shared" si="3"/>
        <v>0</v>
      </c>
    </row>
    <row r="105" spans="1:7" x14ac:dyDescent="0.25">
      <c r="A105" s="237"/>
      <c r="B105" s="44">
        <v>4068</v>
      </c>
      <c r="C105" s="40" t="s">
        <v>159</v>
      </c>
      <c r="D105" s="60">
        <v>12</v>
      </c>
      <c r="E105" s="68">
        <v>6.5000000000000002E-2</v>
      </c>
      <c r="F105" s="179"/>
      <c r="G105" s="106">
        <f t="shared" si="3"/>
        <v>0</v>
      </c>
    </row>
    <row r="106" spans="1:7" x14ac:dyDescent="0.25">
      <c r="A106" s="237"/>
      <c r="B106" s="44">
        <v>4069</v>
      </c>
      <c r="C106" s="40" t="s">
        <v>158</v>
      </c>
      <c r="D106" s="60">
        <v>12</v>
      </c>
      <c r="E106" s="68">
        <v>6.5000000000000002E-2</v>
      </c>
      <c r="F106" s="179"/>
      <c r="G106" s="106">
        <f t="shared" si="3"/>
        <v>0</v>
      </c>
    </row>
    <row r="107" spans="1:7" x14ac:dyDescent="0.25">
      <c r="A107" s="237"/>
      <c r="B107" s="44">
        <v>4070</v>
      </c>
      <c r="C107" s="40"/>
      <c r="D107" s="60"/>
      <c r="E107" s="68">
        <v>6.5000000000000002E-2</v>
      </c>
      <c r="F107" s="179"/>
      <c r="G107" s="106">
        <f t="shared" si="3"/>
        <v>0</v>
      </c>
    </row>
    <row r="108" spans="1:7" x14ac:dyDescent="0.25">
      <c r="A108" s="237"/>
      <c r="B108" s="44">
        <v>4071</v>
      </c>
      <c r="C108" s="40"/>
      <c r="D108" s="60"/>
      <c r="E108" s="68">
        <v>6.5000000000000002E-2</v>
      </c>
      <c r="F108" s="179"/>
      <c r="G108" s="106">
        <f t="shared" si="3"/>
        <v>0</v>
      </c>
    </row>
    <row r="109" spans="1:7" x14ac:dyDescent="0.25">
      <c r="A109" s="237"/>
      <c r="B109" s="44">
        <v>6007</v>
      </c>
      <c r="C109" s="40" t="s">
        <v>71</v>
      </c>
      <c r="D109" s="60">
        <v>24</v>
      </c>
      <c r="E109" s="68">
        <v>6.5000000000000002E-2</v>
      </c>
      <c r="F109" s="179"/>
      <c r="G109" s="106">
        <f t="shared" si="3"/>
        <v>0</v>
      </c>
    </row>
    <row r="110" spans="1:7" x14ac:dyDescent="0.25">
      <c r="A110" s="237"/>
      <c r="B110" s="44">
        <v>6009</v>
      </c>
      <c r="C110" s="40" t="s">
        <v>72</v>
      </c>
      <c r="D110" s="60">
        <v>12</v>
      </c>
      <c r="E110" s="68">
        <v>6.5000000000000002E-2</v>
      </c>
      <c r="F110" s="179"/>
      <c r="G110" s="106">
        <f t="shared" si="3"/>
        <v>0</v>
      </c>
    </row>
    <row r="111" spans="1:7" ht="15.75" thickBot="1" x14ac:dyDescent="0.3">
      <c r="A111" s="238"/>
      <c r="B111" s="45">
        <v>6011</v>
      </c>
      <c r="C111" s="42" t="s">
        <v>73</v>
      </c>
      <c r="D111" s="61">
        <v>24</v>
      </c>
      <c r="E111" s="69">
        <v>6.5000000000000002E-2</v>
      </c>
      <c r="F111" s="180"/>
      <c r="G111" s="106">
        <f t="shared" si="3"/>
        <v>0</v>
      </c>
    </row>
    <row r="112" spans="1:7" x14ac:dyDescent="0.25">
      <c r="A112" s="229" t="s">
        <v>11</v>
      </c>
      <c r="B112" s="144">
        <v>8001</v>
      </c>
      <c r="C112" s="176" t="s">
        <v>74</v>
      </c>
      <c r="D112" s="64">
        <v>9</v>
      </c>
      <c r="E112" s="128">
        <v>6.5000000000000002E-2</v>
      </c>
      <c r="F112" s="177"/>
      <c r="G112" s="106">
        <f t="shared" si="3"/>
        <v>0</v>
      </c>
    </row>
    <row r="113" spans="1:9" x14ac:dyDescent="0.25">
      <c r="A113" s="229"/>
      <c r="B113" s="44">
        <v>8002</v>
      </c>
      <c r="C113" s="47" t="s">
        <v>75</v>
      </c>
      <c r="D113" s="64">
        <v>6</v>
      </c>
      <c r="E113" s="68">
        <v>6.5000000000000002E-2</v>
      </c>
      <c r="F113" s="100"/>
      <c r="G113" s="106">
        <f t="shared" si="3"/>
        <v>0</v>
      </c>
    </row>
    <row r="114" spans="1:9" x14ac:dyDescent="0.25">
      <c r="A114" s="229"/>
      <c r="B114" s="44">
        <v>8003</v>
      </c>
      <c r="C114" s="47" t="s">
        <v>76</v>
      </c>
      <c r="D114" s="63">
        <v>6</v>
      </c>
      <c r="E114" s="68">
        <v>6.5000000000000002E-2</v>
      </c>
      <c r="F114" s="100"/>
      <c r="G114" s="106">
        <f t="shared" si="3"/>
        <v>0</v>
      </c>
    </row>
    <row r="115" spans="1:9" x14ac:dyDescent="0.25">
      <c r="A115" s="229"/>
      <c r="B115" s="44">
        <v>8004</v>
      </c>
      <c r="C115" s="47" t="s">
        <v>77</v>
      </c>
      <c r="D115" s="63">
        <v>12</v>
      </c>
      <c r="E115" s="68">
        <v>6.5000000000000002E-2</v>
      </c>
      <c r="F115" s="100"/>
      <c r="G115" s="106">
        <f t="shared" si="3"/>
        <v>0</v>
      </c>
    </row>
    <row r="116" spans="1:9" x14ac:dyDescent="0.25">
      <c r="A116" s="229"/>
      <c r="B116" s="44">
        <v>8011</v>
      </c>
      <c r="C116" s="47" t="s">
        <v>78</v>
      </c>
      <c r="D116" s="63">
        <v>12</v>
      </c>
      <c r="E116" s="68">
        <v>6.5000000000000002E-2</v>
      </c>
      <c r="F116" s="100"/>
      <c r="G116" s="106">
        <f t="shared" si="3"/>
        <v>0</v>
      </c>
    </row>
    <row r="117" spans="1:9" x14ac:dyDescent="0.25">
      <c r="A117" s="229"/>
      <c r="B117" s="44">
        <v>8012</v>
      </c>
      <c r="C117" s="47" t="s">
        <v>91</v>
      </c>
      <c r="D117" s="63">
        <v>12</v>
      </c>
      <c r="E117" s="68">
        <v>6.5000000000000002E-2</v>
      </c>
      <c r="F117" s="100"/>
      <c r="G117" s="106">
        <f t="shared" si="3"/>
        <v>0</v>
      </c>
    </row>
    <row r="118" spans="1:9" x14ac:dyDescent="0.25">
      <c r="A118" s="229"/>
      <c r="B118" s="44">
        <v>8013</v>
      </c>
      <c r="C118" s="47" t="s">
        <v>145</v>
      </c>
      <c r="D118" s="63">
        <v>12</v>
      </c>
      <c r="E118" s="173">
        <v>6.5000000000000002E-2</v>
      </c>
      <c r="F118" s="100"/>
      <c r="G118" s="106">
        <f t="shared" si="3"/>
        <v>0</v>
      </c>
    </row>
    <row r="119" spans="1:9" ht="15.75" thickBot="1" x14ac:dyDescent="0.3">
      <c r="A119" s="239"/>
      <c r="B119" s="52">
        <v>8014</v>
      </c>
      <c r="C119" s="53"/>
      <c r="D119" s="65"/>
      <c r="E119" s="174">
        <v>6.5000000000000002E-2</v>
      </c>
      <c r="F119" s="101"/>
      <c r="G119" s="106">
        <f t="shared" si="3"/>
        <v>0</v>
      </c>
    </row>
    <row r="120" spans="1:9" ht="15.75" thickBot="1" x14ac:dyDescent="0.3">
      <c r="A120" s="11"/>
      <c r="B120" s="12"/>
      <c r="C120" s="13"/>
      <c r="D120" s="12"/>
      <c r="E120" s="14"/>
      <c r="F120" s="15"/>
      <c r="G120" s="15"/>
    </row>
    <row r="121" spans="1:9" ht="15.75" thickBot="1" x14ac:dyDescent="0.3">
      <c r="A121" s="96" t="s">
        <v>92</v>
      </c>
      <c r="B121" s="19"/>
      <c r="C121" s="19"/>
      <c r="D121" s="19"/>
      <c r="E121" s="19"/>
      <c r="F121" s="19"/>
      <c r="G121" s="19"/>
      <c r="H121" s="19"/>
      <c r="I121" s="20"/>
    </row>
    <row r="122" spans="1:9" ht="15.75" thickBot="1" x14ac:dyDescent="0.3">
      <c r="A122" s="190" t="s">
        <v>130</v>
      </c>
      <c r="B122" s="191"/>
      <c r="C122" s="191"/>
      <c r="D122" s="191"/>
      <c r="E122" s="191"/>
      <c r="F122" s="191"/>
      <c r="G122" s="191"/>
      <c r="H122" s="191"/>
      <c r="I122" s="192"/>
    </row>
    <row r="123" spans="1:9" ht="15.75" thickBot="1" x14ac:dyDescent="0.3">
      <c r="A123" s="89" t="s">
        <v>93</v>
      </c>
      <c r="B123" s="90"/>
      <c r="C123" s="90"/>
      <c r="D123" s="90"/>
      <c r="E123" s="90"/>
      <c r="F123" s="90"/>
      <c r="G123" s="90"/>
      <c r="H123" s="90"/>
      <c r="I123" s="91"/>
    </row>
    <row r="124" spans="1:9" x14ac:dyDescent="0.25">
      <c r="A124" s="243" t="s">
        <v>94</v>
      </c>
      <c r="B124" s="244"/>
      <c r="C124" s="244"/>
      <c r="D124" s="244"/>
      <c r="E124" s="244"/>
      <c r="F124" s="244"/>
      <c r="G124" s="244"/>
      <c r="H124" s="244"/>
      <c r="I124" s="245"/>
    </row>
    <row r="125" spans="1:9" x14ac:dyDescent="0.25">
      <c r="A125" s="181" t="s">
        <v>126</v>
      </c>
      <c r="B125" s="182"/>
      <c r="C125" s="182"/>
      <c r="D125" s="182"/>
      <c r="E125" s="182"/>
      <c r="F125" s="182"/>
      <c r="G125" s="182"/>
      <c r="H125" s="182"/>
      <c r="I125" s="183"/>
    </row>
    <row r="126" spans="1:9" x14ac:dyDescent="0.25">
      <c r="A126" s="181" t="s">
        <v>127</v>
      </c>
      <c r="B126" s="182"/>
      <c r="C126" s="182"/>
      <c r="D126" s="182"/>
      <c r="E126" s="182"/>
      <c r="F126" s="182"/>
      <c r="G126" s="182"/>
      <c r="H126" s="182"/>
      <c r="I126" s="183"/>
    </row>
    <row r="127" spans="1:9" x14ac:dyDescent="0.25">
      <c r="A127" s="86" t="s">
        <v>128</v>
      </c>
      <c r="B127" s="87"/>
      <c r="C127" s="73"/>
      <c r="D127" s="73"/>
      <c r="E127" s="73"/>
      <c r="F127" s="73"/>
      <c r="G127" s="73"/>
      <c r="H127" s="73"/>
      <c r="I127" s="97"/>
    </row>
    <row r="128" spans="1:9" ht="15.75" thickBot="1" x14ac:dyDescent="0.3">
      <c r="A128" s="88" t="s">
        <v>98</v>
      </c>
      <c r="B128" s="21"/>
      <c r="C128" s="21"/>
      <c r="D128" s="21"/>
      <c r="E128" s="21"/>
      <c r="F128" s="21"/>
      <c r="G128" s="21"/>
      <c r="H128" s="21"/>
      <c r="I128" s="22"/>
    </row>
    <row r="129" spans="1:9" ht="15.75" thickBot="1" x14ac:dyDescent="0.3">
      <c r="A129" s="107" t="s">
        <v>99</v>
      </c>
      <c r="B129" s="108"/>
      <c r="C129" s="108"/>
      <c r="D129" s="108"/>
      <c r="E129" s="108"/>
      <c r="F129" s="108"/>
      <c r="G129" s="108"/>
      <c r="H129" s="108"/>
      <c r="I129" s="113"/>
    </row>
    <row r="130" spans="1:9" x14ac:dyDescent="0.25">
      <c r="A130" s="6" t="s">
        <v>100</v>
      </c>
      <c r="B130" s="114"/>
      <c r="C130" s="114"/>
      <c r="D130" s="114"/>
      <c r="E130" s="114"/>
      <c r="F130" s="114"/>
      <c r="G130" s="114"/>
      <c r="H130" s="114"/>
      <c r="I130" s="115"/>
    </row>
    <row r="131" spans="1:9" x14ac:dyDescent="0.25">
      <c r="A131" s="196" t="s">
        <v>101</v>
      </c>
      <c r="B131" s="197"/>
      <c r="C131" s="197"/>
      <c r="D131" s="197"/>
      <c r="E131" s="197"/>
      <c r="F131" s="197"/>
      <c r="G131" s="197"/>
      <c r="H131" s="197"/>
      <c r="I131" s="198"/>
    </row>
    <row r="132" spans="1:9" x14ac:dyDescent="0.25">
      <c r="A132" s="196" t="s">
        <v>102</v>
      </c>
      <c r="B132" s="197"/>
      <c r="C132" s="197"/>
      <c r="D132" s="197"/>
      <c r="E132" s="197"/>
      <c r="F132" s="197"/>
      <c r="G132" s="197"/>
      <c r="H132" s="197"/>
      <c r="I132" s="198"/>
    </row>
    <row r="133" spans="1:9" x14ac:dyDescent="0.25">
      <c r="A133" s="110" t="s">
        <v>103</v>
      </c>
      <c r="B133" s="109"/>
      <c r="C133" s="109"/>
      <c r="D133" s="109"/>
      <c r="E133" s="109"/>
      <c r="F133" s="109"/>
      <c r="G133" s="109"/>
      <c r="H133" s="109"/>
      <c r="I133" s="116"/>
    </row>
    <row r="134" spans="1:9" x14ac:dyDescent="0.25">
      <c r="A134" s="240" t="s">
        <v>104</v>
      </c>
      <c r="B134" s="241"/>
      <c r="C134" s="241"/>
      <c r="D134" s="241"/>
      <c r="E134" s="241"/>
      <c r="F134" s="241"/>
      <c r="G134" s="241"/>
      <c r="H134" s="241"/>
      <c r="I134" s="242"/>
    </row>
    <row r="135" spans="1:9" ht="15.75" thickBot="1" x14ac:dyDescent="0.3">
      <c r="A135" s="111" t="s">
        <v>105</v>
      </c>
      <c r="B135" s="112"/>
      <c r="C135" s="112"/>
      <c r="D135" s="112"/>
      <c r="E135" s="112"/>
      <c r="F135" s="112"/>
      <c r="G135" s="112"/>
      <c r="H135" s="112"/>
      <c r="I135" s="117"/>
    </row>
    <row r="136" spans="1:9" ht="15.75" thickBot="1" x14ac:dyDescent="0.3">
      <c r="A136" s="202" t="s">
        <v>106</v>
      </c>
      <c r="B136" s="203"/>
      <c r="C136" s="203"/>
      <c r="D136" s="203"/>
      <c r="E136" s="203"/>
      <c r="F136" s="203"/>
      <c r="G136" s="203"/>
      <c r="H136" s="203"/>
      <c r="I136" s="204"/>
    </row>
    <row r="137" spans="1:9" x14ac:dyDescent="0.25">
      <c r="A137" s="181" t="s">
        <v>107</v>
      </c>
      <c r="B137" s="182"/>
      <c r="C137" s="182"/>
      <c r="D137" s="182"/>
      <c r="E137" s="182"/>
      <c r="F137" s="182"/>
      <c r="G137" s="182"/>
      <c r="H137" s="182"/>
      <c r="I137" s="183"/>
    </row>
    <row r="138" spans="1:9" x14ac:dyDescent="0.25">
      <c r="A138" s="93" t="s">
        <v>108</v>
      </c>
      <c r="B138" s="94"/>
      <c r="C138" s="94"/>
      <c r="D138" s="94"/>
      <c r="E138" s="94"/>
      <c r="F138" s="94"/>
      <c r="G138" s="94"/>
      <c r="H138" s="94"/>
      <c r="I138" s="95"/>
    </row>
    <row r="139" spans="1:9" x14ac:dyDescent="0.25">
      <c r="A139" s="93" t="s">
        <v>109</v>
      </c>
      <c r="B139" s="94"/>
      <c r="C139" s="94"/>
      <c r="D139" s="94"/>
      <c r="E139" s="94"/>
      <c r="F139" s="94"/>
      <c r="G139" s="94"/>
      <c r="H139" s="94"/>
      <c r="I139" s="95"/>
    </row>
    <row r="140" spans="1:9" ht="15.75" thickBot="1" x14ac:dyDescent="0.3">
      <c r="A140" s="184" t="s">
        <v>110</v>
      </c>
      <c r="B140" s="185"/>
      <c r="C140" s="185"/>
      <c r="D140" s="185"/>
      <c r="E140" s="185"/>
      <c r="F140" s="185"/>
      <c r="G140" s="185"/>
      <c r="H140" s="185"/>
      <c r="I140" s="186"/>
    </row>
    <row r="141" spans="1:9" ht="15.75" thickBot="1" x14ac:dyDescent="0.3">
      <c r="A141" s="190" t="s">
        <v>111</v>
      </c>
      <c r="B141" s="191"/>
      <c r="C141" s="191"/>
      <c r="D141" s="191"/>
      <c r="E141" s="191"/>
      <c r="F141" s="191"/>
      <c r="G141" s="191"/>
      <c r="H141" s="191"/>
      <c r="I141" s="192"/>
    </row>
    <row r="142" spans="1:9" x14ac:dyDescent="0.25">
      <c r="A142" s="248" t="s">
        <v>122</v>
      </c>
      <c r="B142" s="249"/>
      <c r="C142" s="249"/>
      <c r="D142" s="249"/>
      <c r="E142" s="249"/>
      <c r="F142" s="249"/>
      <c r="G142" s="249"/>
      <c r="H142" s="249"/>
      <c r="I142" s="250"/>
    </row>
    <row r="143" spans="1:9" ht="15.75" thickBot="1" x14ac:dyDescent="0.3">
      <c r="A143" s="199" t="s">
        <v>112</v>
      </c>
      <c r="B143" s="200"/>
      <c r="C143" s="200"/>
      <c r="D143" s="200"/>
      <c r="E143" s="200"/>
      <c r="F143" s="200"/>
      <c r="G143" s="200"/>
      <c r="H143" s="200"/>
      <c r="I143" s="201"/>
    </row>
    <row r="144" spans="1:9" ht="15.75" thickBot="1" x14ac:dyDescent="0.3">
      <c r="A144" s="202" t="s">
        <v>131</v>
      </c>
      <c r="B144" s="203"/>
      <c r="C144" s="203"/>
      <c r="D144" s="203"/>
      <c r="E144" s="203"/>
      <c r="F144" s="203"/>
      <c r="G144" s="203"/>
      <c r="H144" s="203"/>
      <c r="I144" s="204"/>
    </row>
    <row r="145" spans="1:9" x14ac:dyDescent="0.25">
      <c r="A145" s="205" t="s">
        <v>132</v>
      </c>
      <c r="B145" s="206"/>
      <c r="C145" s="206"/>
      <c r="D145" s="206"/>
      <c r="E145" s="206"/>
      <c r="F145" s="206"/>
      <c r="G145" s="206"/>
      <c r="H145" s="206"/>
      <c r="I145" s="207"/>
    </row>
    <row r="146" spans="1:9" ht="15.75" thickBot="1" x14ac:dyDescent="0.3">
      <c r="A146" s="184" t="s">
        <v>112</v>
      </c>
      <c r="B146" s="185"/>
      <c r="C146" s="185"/>
      <c r="D146" s="185"/>
      <c r="E146" s="185"/>
      <c r="F146" s="185"/>
      <c r="G146" s="185"/>
      <c r="H146" s="185"/>
      <c r="I146" s="186"/>
    </row>
    <row r="147" spans="1:9" ht="15.75" thickBot="1" x14ac:dyDescent="0.3">
      <c r="A147" s="107" t="s">
        <v>113</v>
      </c>
      <c r="B147" s="108"/>
      <c r="C147" s="108"/>
      <c r="D147" s="108"/>
      <c r="E147" s="108"/>
      <c r="F147" s="108"/>
      <c r="G147" s="108"/>
      <c r="H147" s="108"/>
      <c r="I147" s="113"/>
    </row>
    <row r="148" spans="1:9" x14ac:dyDescent="0.25">
      <c r="A148" s="118" t="s">
        <v>114</v>
      </c>
      <c r="B148" s="114"/>
      <c r="C148" s="114"/>
      <c r="D148" s="114"/>
      <c r="E148" s="114"/>
      <c r="F148" s="114"/>
      <c r="G148" s="114"/>
      <c r="H148" s="119"/>
      <c r="I148" s="120"/>
    </row>
    <row r="149" spans="1:9" x14ac:dyDescent="0.25">
      <c r="A149" s="110" t="s">
        <v>115</v>
      </c>
      <c r="B149" s="109"/>
      <c r="C149" s="109"/>
      <c r="D149" s="109"/>
      <c r="E149" s="109"/>
      <c r="F149" s="109"/>
      <c r="G149" s="109"/>
      <c r="H149" s="121"/>
      <c r="I149" s="122"/>
    </row>
    <row r="150" spans="1:9" x14ac:dyDescent="0.25">
      <c r="A150" s="110" t="s">
        <v>116</v>
      </c>
      <c r="B150" s="109"/>
      <c r="C150" s="109"/>
      <c r="D150" s="109"/>
      <c r="E150" s="109"/>
      <c r="F150" s="109"/>
      <c r="G150" s="109"/>
      <c r="H150" s="109"/>
      <c r="I150" s="116"/>
    </row>
    <row r="151" spans="1:9" x14ac:dyDescent="0.25">
      <c r="A151" s="110" t="s">
        <v>117</v>
      </c>
      <c r="B151" s="109"/>
      <c r="C151" s="109"/>
      <c r="D151" s="109"/>
      <c r="E151" s="109"/>
      <c r="F151" s="109"/>
      <c r="G151" s="109"/>
      <c r="H151" s="121"/>
      <c r="I151" s="122"/>
    </row>
    <row r="152" spans="1:9" x14ac:dyDescent="0.25">
      <c r="A152" s="110" t="s">
        <v>118</v>
      </c>
      <c r="B152" s="109"/>
      <c r="C152" s="109"/>
      <c r="D152" s="109"/>
      <c r="E152" s="109"/>
      <c r="F152" s="109"/>
      <c r="G152" s="109"/>
      <c r="H152" s="121"/>
      <c r="I152" s="122"/>
    </row>
    <row r="153" spans="1:9" ht="15.75" thickBot="1" x14ac:dyDescent="0.3">
      <c r="A153" s="111" t="s">
        <v>119</v>
      </c>
      <c r="B153" s="112"/>
      <c r="C153" s="112"/>
      <c r="D153" s="112"/>
      <c r="E153" s="112"/>
      <c r="F153" s="112"/>
      <c r="G153" s="112"/>
      <c r="H153" s="123"/>
      <c r="I153" s="124"/>
    </row>
  </sheetData>
  <sortState ref="B117:G119">
    <sortCondition ref="B117"/>
  </sortState>
  <mergeCells count="24">
    <mergeCell ref="A145:I145"/>
    <mergeCell ref="A146:I146"/>
    <mergeCell ref="A140:I140"/>
    <mergeCell ref="A141:I141"/>
    <mergeCell ref="A142:I142"/>
    <mergeCell ref="A143:I143"/>
    <mergeCell ref="A144:I144"/>
    <mergeCell ref="C1:E1"/>
    <mergeCell ref="F1:F2"/>
    <mergeCell ref="C2:E2"/>
    <mergeCell ref="A4:A18"/>
    <mergeCell ref="A19:A53"/>
    <mergeCell ref="A54:A65"/>
    <mergeCell ref="A66:A111"/>
    <mergeCell ref="A112:A119"/>
    <mergeCell ref="A124:I124"/>
    <mergeCell ref="A126:I126"/>
    <mergeCell ref="A125:I125"/>
    <mergeCell ref="A122:I122"/>
    <mergeCell ref="A131:I131"/>
    <mergeCell ref="A132:I132"/>
    <mergeCell ref="A134:I134"/>
    <mergeCell ref="A136:I136"/>
    <mergeCell ref="A137:I137"/>
  </mergeCells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Modelo 17% </vt:lpstr>
      <vt:lpstr>Modelo 12%</vt:lpstr>
      <vt:lpstr>Modelo 7%</vt:lpstr>
      <vt:lpstr>'Modelo 7%'!Titulos_de_impressao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2024-01-04T17:54:24Z</cp:lastPrinted>
  <dcterms:created xsi:type="dcterms:W3CDTF">2020-09-05T02:32:22Z</dcterms:created>
  <dcterms:modified xsi:type="dcterms:W3CDTF">2025-10-23T16:34:16Z</dcterms:modified>
</cp:coreProperties>
</file>