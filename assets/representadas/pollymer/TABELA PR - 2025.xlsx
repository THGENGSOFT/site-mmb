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media/image1.jpeg" ContentType="image/jpeg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odelo 12%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<sst xmlns="http://schemas.openxmlformats.org/spreadsheetml/2006/main" uniqueCount="185">
  <si>
    <t>TABELA PREÇOS - 2025</t>
  </si>
  <si>
    <t xml:space="preserve">TABELA GERAL </t>
  </si>
  <si>
    <t>TABELA PE</t>
  </si>
  <si>
    <t>TABELA FOB</t>
  </si>
  <si>
    <t xml:space="preserve">ESTADO PARANA </t>
  </si>
  <si>
    <t>LINHA</t>
  </si>
  <si>
    <t>REF</t>
  </si>
  <si>
    <t xml:space="preserve">DESCRIÇÃO DOS PRODUTOS </t>
  </si>
  <si>
    <t>Quant Embal</t>
  </si>
  <si>
    <t>IPI</t>
  </si>
  <si>
    <t>Cap</t>
  </si>
  <si>
    <t>Int</t>
  </si>
  <si>
    <t>UTILIDADES DOMÉSTICAS</t>
  </si>
  <si>
    <t>1002/12</t>
  </si>
  <si>
    <t>Cabide de Roupa Prático Infantil 1 unid - Cor</t>
  </si>
  <si>
    <t>1002/52</t>
  </si>
  <si>
    <t>Cabide de Roupa Prático Infantil cart c/5unid - Cor</t>
  </si>
  <si>
    <t>1006/11</t>
  </si>
  <si>
    <t>Cabide de Roupa Adulto 1 unidade - Preto</t>
  </si>
  <si>
    <t>1006/41</t>
  </si>
  <si>
    <t>Cabide de Roupa Adulto cart. c/4 unidades - Preto</t>
  </si>
  <si>
    <t>1006/151</t>
  </si>
  <si>
    <t xml:space="preserve">Cabide de Roupa Adulto Amarr c/ 15 unidades - Petro </t>
  </si>
  <si>
    <t>Pá para lixo - Cor</t>
  </si>
  <si>
    <t>Tabua Grande para Carne - Branca</t>
  </si>
  <si>
    <t>Tabua Pequena para Carne - Branca</t>
  </si>
  <si>
    <t>Kit Tábua (1011+1013) - Branca</t>
  </si>
  <si>
    <t>Porta Miudezas c/3 estojos</t>
  </si>
  <si>
    <t>Porta Miudezas c/4 estojos</t>
  </si>
  <si>
    <t>Porta Miudezas c/5 estojos</t>
  </si>
  <si>
    <t>1033/48</t>
  </si>
  <si>
    <t>Prendedor de Roupa Pct c/48 unidades - Cor</t>
  </si>
  <si>
    <t>1033/72</t>
  </si>
  <si>
    <t>Prendedor de Roupa Pct c/72 unidades - Cor</t>
  </si>
  <si>
    <t>Tampa para micro</t>
  </si>
  <si>
    <t xml:space="preserve"> PET SHOP</t>
  </si>
  <si>
    <t>Kit Gato (bandeja+pá higiênica+comedouro)</t>
  </si>
  <si>
    <t xml:space="preserve">Kit Black (bandeja+pá higiênica+comedouro) </t>
  </si>
  <si>
    <t>Kit 1 Comedouro Osso (2139) + 1 Comedouro Pequeno (2142)</t>
  </si>
  <si>
    <t>Kit 1 Comedouro Mini (2141) + 1 Comedouro Pequeno (2143)</t>
  </si>
  <si>
    <t>Kit 1 Pa Dosadora (2148) +2 Comed (2751) +1 Pa Higienica (2752)</t>
  </si>
  <si>
    <t>Kit 1 Comedouro Slim Filhote (2701) + 1 Com Slim Medio (2703)</t>
  </si>
  <si>
    <t>Kit 2 Com Carinha Gato (2751) + 1 Pa Hig Carinha Gato (2752)</t>
  </si>
  <si>
    <t>Kit 2 Comedouro Slim Mini (2701) + 2 Bolinha Guizo (2754)</t>
  </si>
  <si>
    <t xml:space="preserve">Comedouro osso 0,75 lts </t>
  </si>
  <si>
    <t>Comedouro Hamster 0,06 lts</t>
  </si>
  <si>
    <t xml:space="preserve">Comedouro Mini 0,40 lts </t>
  </si>
  <si>
    <t xml:space="preserve">Comedouro Pequeno 0,60 lts </t>
  </si>
  <si>
    <t xml:space="preserve">Comedouro Médio 1,10 lts </t>
  </si>
  <si>
    <t xml:space="preserve">Comedouro Grande 2,00 lts </t>
  </si>
  <si>
    <t xml:space="preserve">Comedouro para Caes Orelhas Longas 0,60 lts </t>
  </si>
  <si>
    <t xml:space="preserve">Comedouro de Gato 0,15 lts  </t>
  </si>
  <si>
    <t>Bandeja para Granulado</t>
  </si>
  <si>
    <t xml:space="preserve">Pá Dosadora </t>
  </si>
  <si>
    <t xml:space="preserve">Pá Higiênica </t>
  </si>
  <si>
    <t>Fresbee</t>
  </si>
  <si>
    <t xml:space="preserve">Bandeja para Granulado - Grande - 18lts </t>
  </si>
  <si>
    <t xml:space="preserve">Toalete Pet </t>
  </si>
  <si>
    <t xml:space="preserve">Porta Ração c/3 Estojos </t>
  </si>
  <si>
    <t xml:space="preserve">Comedouro Translucido Filhote - 0,17lts </t>
  </si>
  <si>
    <t xml:space="preserve">Comedouro Translucido Pequeno - 0,45lts </t>
  </si>
  <si>
    <t xml:space="preserve">Comedouro Slim Filhote - 0,15lts </t>
  </si>
  <si>
    <t xml:space="preserve">Comedouro Slim Pequeno - 0,50lts </t>
  </si>
  <si>
    <t xml:space="preserve">Comedouro Slim Médio - 1lts </t>
  </si>
  <si>
    <t xml:space="preserve">Kit Carinha de Gato </t>
  </si>
  <si>
    <t xml:space="preserve">Comedouro Carinha de Gato - 0,14lts </t>
  </si>
  <si>
    <t>Pá Higienica Carinha de Gato</t>
  </si>
  <si>
    <t>Bandeja Carinha de Gato - 10lts</t>
  </si>
  <si>
    <t>Bolinha com Guizo</t>
  </si>
  <si>
    <t>Comedouro Postura Ideal - 0,200lts</t>
  </si>
  <si>
    <t xml:space="preserve">Caixa Transportadora - Grade Plástica </t>
  </si>
  <si>
    <t>FEMININA</t>
  </si>
  <si>
    <t xml:space="preserve">Mini Bag Fashion c/bandeja - Cor </t>
  </si>
  <si>
    <t xml:space="preserve">Lady Case - Cor </t>
  </si>
  <si>
    <t xml:space="preserve">Mini Bag Fashion - s/bandeja - Cor </t>
  </si>
  <si>
    <t xml:space="preserve">Fashion Bag 2 Bandejas - Cor </t>
  </si>
  <si>
    <t xml:space="preserve">Fashion Bag 3 Bandejas - Cor </t>
  </si>
  <si>
    <t xml:space="preserve">Mini Maleta - Cor </t>
  </si>
  <si>
    <t>Kit 2 Mini Maletas (3954)</t>
  </si>
  <si>
    <t>Kit 1 Mini Maleta (3954) + 1 Mini Maleta S.O.S (8012)</t>
  </si>
  <si>
    <t>Kit 3 Estojos Mini Color (3905)</t>
  </si>
  <si>
    <t>Fashion Bag s/ Bandeja - Estojo na Tampa</t>
  </si>
  <si>
    <t>Fashion Bag c/ Bandeja Removivel - Estojo na Tampa</t>
  </si>
  <si>
    <t>Fashion Bag 1 Estojo Articulado - Estojo na Tampa</t>
  </si>
  <si>
    <t>FERRAMENTA E PESCA</t>
  </si>
  <si>
    <t>KIT 1 Maleta Mini Standart (4001) + 2 Mini Estojos (4020)</t>
  </si>
  <si>
    <t xml:space="preserve">Maleta Mini Standart s/bandeja - Preta </t>
  </si>
  <si>
    <t xml:space="preserve">Maleta Mini Toolcase (Parafusadeira) - Preta </t>
  </si>
  <si>
    <t xml:space="preserve">Maleta Média Toolcase (Furadeira) - Preta </t>
  </si>
  <si>
    <t xml:space="preserve">Estojo Mini-Box c/bandeja - Preto </t>
  </si>
  <si>
    <t xml:space="preserve">Maleta Prática Grande - Fundo Preto e Tampa Transp </t>
  </si>
  <si>
    <t xml:space="preserve">Organizador Multibox Médio - Fundo Preto e Tampa Transp </t>
  </si>
  <si>
    <t xml:space="preserve">Organizador Doublebox - Estrutura Preta e Tampa Transp </t>
  </si>
  <si>
    <t xml:space="preserve">Mini Estojo p/ Ferramentas - Preto </t>
  </si>
  <si>
    <t xml:space="preserve">Porta Treco c/5 estojos - Estrutura Transp Tampa Preta </t>
  </si>
  <si>
    <t xml:space="preserve">Maleta Master 20" c/bandeja removível - Preta </t>
  </si>
  <si>
    <t xml:space="preserve">Utility Box - Preta </t>
  </si>
  <si>
    <t>Maleta Master Better 20" - Preta</t>
  </si>
  <si>
    <t xml:space="preserve">Maleta Master 16" s/bandeja - Preta </t>
  </si>
  <si>
    <t xml:space="preserve">Maleta Master 16" c/band removível - Preta </t>
  </si>
  <si>
    <t xml:space="preserve">Maleta Max Utility Box - Preta </t>
  </si>
  <si>
    <t xml:space="preserve">Maleta Premium 2 Bandejas - Preta </t>
  </si>
  <si>
    <t>Maleta Premium 3 Bandejas - Preta</t>
  </si>
  <si>
    <t xml:space="preserve">Maleta Premium 2 Bandejas - Tampa Cor </t>
  </si>
  <si>
    <t>Maleta Premium 3 Bandejas - Tampa Cor</t>
  </si>
  <si>
    <t xml:space="preserve">Mini Maleta - Preta </t>
  </si>
  <si>
    <t xml:space="preserve">Maleta Premiun s/ Bandeja - Preta </t>
  </si>
  <si>
    <t xml:space="preserve">Maleta Premiun c/ 1 Bandeja Articulada - Preta </t>
  </si>
  <si>
    <t xml:space="preserve">Maleta Premiun s/ Bandeja - Tampa Cor </t>
  </si>
  <si>
    <t xml:space="preserve">Maleta Premiun c/ 1 Bandeja Art - Tampa Cor </t>
  </si>
  <si>
    <t xml:space="preserve">Maleta Premiun c/ Bandeja Removível - Preta </t>
  </si>
  <si>
    <t xml:space="preserve">Maleta Premiun c/ Band Removivel - Tampa Cor </t>
  </si>
  <si>
    <t xml:space="preserve">Maleta Premium Toolcase sem estojo - Preta </t>
  </si>
  <si>
    <t xml:space="preserve">Maleta Premium Toolcase com estojo - Preta </t>
  </si>
  <si>
    <r>
      <rPr>
        <sz val="8"/>
        <color indexed="8"/>
        <rFont val="Arial"/>
      </rPr>
      <t xml:space="preserve">Balde Pedreiro Reforcado - 12lts - Preto </t>
    </r>
  </si>
  <si>
    <t xml:space="preserve">Maleta Special Box - Serra Marmore - Preta </t>
  </si>
  <si>
    <t>Maleta Serra Marmore - Preta - Alca 16"</t>
  </si>
  <si>
    <t xml:space="preserve">Balde Para Concreto - 12lts - Preta </t>
  </si>
  <si>
    <t>Balde para Concreto/Multiuso - 12lts - Alça Cor</t>
  </si>
  <si>
    <t>Caixa para Massa - 18lts</t>
  </si>
  <si>
    <t xml:space="preserve">Maleta Master 12" c/ bandeja removivel - Preta </t>
  </si>
  <si>
    <t>Maleta Premium s/ Bandeja - Estojo na Tampa - Preta</t>
  </si>
  <si>
    <t>Maleta Premium c/ Bandeja Removivel - Estojo na Tampa - Preta</t>
  </si>
  <si>
    <t>Maleta Premium c/ 1 Estojo Articulado - Estojo na Tampa - Preta</t>
  </si>
  <si>
    <t xml:space="preserve">Maleta Master 16" s/ Bandeja - Estojo na Tampa - Preta </t>
  </si>
  <si>
    <t xml:space="preserve">Maleta Master 16" c/ Band Removível - Estojo na Tampa - Preta </t>
  </si>
  <si>
    <t xml:space="preserve">Organizador Multibox Pequeno - Fundo Preto e Tampa Transp </t>
  </si>
  <si>
    <t xml:space="preserve">Organizador Multibox Pequeno - Transparente </t>
  </si>
  <si>
    <t xml:space="preserve">Estojo Mini-Box c/bandeja - Preto e Tampa Cor </t>
  </si>
  <si>
    <t xml:space="preserve">Organizador Multibox Pescaria - Transparente </t>
  </si>
  <si>
    <t xml:space="preserve">Estojo Isca Box - Cor </t>
  </si>
  <si>
    <t>SOS</t>
  </si>
  <si>
    <t>Maleta Compacta S.O.S c/1 bandeja articulada - Branca</t>
  </si>
  <si>
    <t xml:space="preserve">Maleta Pronto-Socorro c/2 bandejas articuladas - Branca </t>
  </si>
  <si>
    <t>Maleta Pronto-Socorro c/3 bandejas articuladas - Branca</t>
  </si>
  <si>
    <t>Estojo Multiuso S.O.S Médio - Transparente</t>
  </si>
  <si>
    <t xml:space="preserve">Maleta Mini SOS - Branca </t>
  </si>
  <si>
    <t>Mini Maleta SOS - Branca</t>
  </si>
  <si>
    <t>Kit 2 Mini Maletas S.O.S (8012)</t>
  </si>
  <si>
    <t>Estojo Multiuso S.O.S Pequeno - Transparente</t>
  </si>
  <si>
    <t xml:space="preserve">                                       POLÍTICA COMERCIAL</t>
  </si>
  <si>
    <t>Frete CIF - Estado PR e SP (ver relação de cidades atendidas como CAPITAL)</t>
  </si>
  <si>
    <t>1 - REGRA GERAL</t>
  </si>
  <si>
    <t>Regime Tributário: Lucro Presumido</t>
  </si>
  <si>
    <t xml:space="preserve">ICMS já incluso conforme percentual do RS (12%) </t>
  </si>
  <si>
    <t>IPI deverá ser acrescido ao preço da tabela, de acordo com o produto (PE 50 dividir por 2) (PE 25 dividir por 4)</t>
  </si>
  <si>
    <t>Frete FOB - Cliente deverá indicar a transportadora (Nome  e Telefone)</t>
  </si>
  <si>
    <t>Frete FOB PE 25 - Pedido Mínimo R$ 3.000,00</t>
  </si>
  <si>
    <t>Prazo de Fabricação: até 30dd</t>
  </si>
  <si>
    <t>2 - PEDIDO MÍNIMO X PRAZO X DESCONTO</t>
  </si>
  <si>
    <t>Duplicata Mínima R$ 800,00</t>
  </si>
  <si>
    <t xml:space="preserve">Pedido Mínimo R$ 1.600,00 (em produtos) - Desconto 0% - PRAZO Sugestão 28dd (Prazo Médio 28dd)  </t>
  </si>
  <si>
    <t>Pedidos acima R$ 3.000,00 (em produtos) - Conceder até 7% desconto - PRAZO Sugestão 28/42dd (prazo médio 35dd)</t>
  </si>
  <si>
    <t>Pedidos acima R$ 6.000,00 (em produtos) - Conceder até 15% desconto - PRAZO Sugestão 28/35/42/56dd (prazo médio 40dd)</t>
  </si>
  <si>
    <t xml:space="preserve">Pedidos acima R$ 10.000,00 (em produtos) - conceder até 20% desconto - PRAZO Sugestão: 28/42/56/70/84/98 (prazo médio 63dd) </t>
  </si>
  <si>
    <t>Tabela calculada com Prazo Médio 60dd - Financeiro Mensal 3%  para acrescimo ou desconto mensal</t>
  </si>
  <si>
    <t xml:space="preserve">3 - TABELA COMISSAO X DESCONTO (ALÉM DOS DESCONTOS DO ITEM 2) </t>
  </si>
  <si>
    <t>Comissão de 7% - Desconto 0%</t>
  </si>
  <si>
    <t xml:space="preserve">Comissão de 6% - Desconto de até 4% - Pedido Mínimo R$ 3.000,00 </t>
  </si>
  <si>
    <t>Comissão de 5%- Desconto de até 7% - Pedido Mínimo R$  6.000,00</t>
  </si>
  <si>
    <t xml:space="preserve">Comissão de 4% - Desconto de até 10% - Pedido Mínimo R$ 6.000,00 </t>
  </si>
  <si>
    <t>4 - PRODUCAO PARA EXPORTACAO</t>
  </si>
  <si>
    <t>Isento de Impostos: ICMS, PIS e CONFIS - Conceder desconto de 16,65%</t>
  </si>
  <si>
    <t xml:space="preserve">IPI - Não Destacar </t>
  </si>
  <si>
    <t>5 - INFORMAÇÕES OBRIGATÓRIAS NO PEDIDO</t>
  </si>
  <si>
    <t>Dados do cliente, telefone, e-mail para envio da nfe</t>
  </si>
  <si>
    <t>Tabela utilizada - GERAL ou PE</t>
  </si>
  <si>
    <t>Frete: CIF ou FOB (no caso de FOB obrigatório Nome da Transp e Telefone)</t>
  </si>
  <si>
    <t xml:space="preserve">Descontos Concedidos (% e Tipo) </t>
  </si>
  <si>
    <t>Prazo de Pagamento</t>
  </si>
  <si>
    <t>Observações Gerais (cor de fecho e alça / cor de produto/ sem etiqueta / somente cod barras / ...)</t>
  </si>
  <si>
    <t>Cidades Atendidas = Tabela Capital PR</t>
  </si>
  <si>
    <t>Almirante Tamandare</t>
  </si>
  <si>
    <t>Araucaria</t>
  </si>
  <si>
    <t>Balsa Nova</t>
  </si>
  <si>
    <t>Campina Grande Sul</t>
  </si>
  <si>
    <t>Campo Largo</t>
  </si>
  <si>
    <t>Campo Magro</t>
  </si>
  <si>
    <t>Colombo</t>
  </si>
  <si>
    <t>Curitiba</t>
  </si>
  <si>
    <t>Fazenda Rio Grande</t>
  </si>
  <si>
    <t>Pinhais</t>
  </si>
  <si>
    <t>Piraquara</t>
  </si>
  <si>
    <t>Quatro Barras</t>
  </si>
  <si>
    <t>São José dos Pinhais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</si>
</sst>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%"/>
  </numFmts>
  <fonts count="1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Arial"/>
    </font>
    <font>
      <b val="1"/>
      <sz val="8"/>
      <color indexed="8"/>
      <name val="Arial"/>
    </font>
    <font>
      <b val="1"/>
      <sz val="11"/>
      <color indexed="8"/>
      <name val="Calibri"/>
    </font>
    <font>
      <b val="1"/>
      <sz val="11"/>
      <color indexed="14"/>
      <name val="Arial"/>
    </font>
    <font>
      <b val="1"/>
      <sz val="8"/>
      <color indexed="8"/>
      <name val="Calibri"/>
    </font>
    <font>
      <sz val="8"/>
      <color indexed="8"/>
      <name val="Arial"/>
    </font>
    <font>
      <sz val="8"/>
      <color indexed="8"/>
      <name val="Calibri"/>
    </font>
    <font>
      <b val="1"/>
      <sz val="9"/>
      <color indexed="8"/>
      <name val="Arial"/>
    </font>
    <font>
      <sz val="9"/>
      <color indexed="8"/>
      <name val="Arial"/>
    </font>
    <font>
      <sz val="16"/>
      <color indexed="14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</fills>
  <borders count="3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16"/>
      </left>
      <right style="thin">
        <color indexed="16"/>
      </right>
      <top style="medium">
        <color indexed="8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49" fontId="3" fillId="3" borderId="1" applyNumberFormat="1" applyFont="1" applyFill="1" applyBorder="1" applyAlignment="1" applyProtection="0">
      <alignment horizontal="center" vertical="bottom"/>
    </xf>
    <xf numFmtId="0" fontId="3" fillId="3" borderId="3" applyNumberFormat="0" applyFont="1" applyFill="1" applyBorder="1" applyAlignment="1" applyProtection="0">
      <alignment horizontal="center" vertical="bottom"/>
    </xf>
    <xf numFmtId="0" fontId="3" fillId="3" borderId="2" applyNumberFormat="0" applyFont="1" applyFill="1" applyBorder="1" applyAlignment="1" applyProtection="0">
      <alignment horizontal="center" vertical="bottom"/>
    </xf>
    <xf numFmtId="49" fontId="4" fillId="4" borderId="4" applyNumberFormat="1" applyFont="1" applyFill="1" applyBorder="1" applyAlignment="1" applyProtection="0">
      <alignment horizontal="center" vertical="center" wrapText="1"/>
    </xf>
    <xf numFmtId="0" fontId="4" fillId="4" borderId="5" applyNumberFormat="0" applyFont="1" applyFill="1" applyBorder="1" applyAlignment="1" applyProtection="0">
      <alignment horizontal="center" vertical="center" wrapText="1"/>
    </xf>
    <xf numFmtId="49" fontId="4" fillId="5" borderId="1" applyNumberFormat="1" applyFont="1" applyFill="1" applyBorder="1" applyAlignment="1" applyProtection="0">
      <alignment horizontal="center" vertical="center" wrapText="1"/>
    </xf>
    <xf numFmtId="0" fontId="4" fillId="5" borderId="2" applyNumberFormat="0" applyFont="1" applyFill="1" applyBorder="1" applyAlignment="1" applyProtection="0">
      <alignment horizontal="center" vertical="center" wrapText="1"/>
    </xf>
    <xf numFmtId="49" fontId="5" fillId="6" borderId="1" applyNumberFormat="1" applyFont="1" applyFill="1" applyBorder="1" applyAlignment="1" applyProtection="0">
      <alignment horizontal="center" vertical="center"/>
    </xf>
    <xf numFmtId="0" fontId="5" fillId="6" borderId="3" applyNumberFormat="0" applyFont="1" applyFill="1" applyBorder="1" applyAlignment="1" applyProtection="0">
      <alignment horizontal="center" vertical="center"/>
    </xf>
    <xf numFmtId="0" fontId="5" fillId="6" borderId="2" applyNumberFormat="0" applyFont="1" applyFill="1" applyBorder="1" applyAlignment="1" applyProtection="0">
      <alignment horizontal="center" vertical="center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49" fontId="6" fillId="3" borderId="6" applyNumberFormat="1" applyFont="1" applyFill="1" applyBorder="1" applyAlignment="1" applyProtection="0">
      <alignment horizontal="center" vertical="bottom"/>
    </xf>
    <xf numFmtId="0" fontId="6" fillId="3" borderId="8" applyNumberFormat="0" applyFont="1" applyFill="1" applyBorder="1" applyAlignment="1" applyProtection="0">
      <alignment horizontal="center" vertical="bottom"/>
    </xf>
    <xf numFmtId="0" fontId="6" fillId="3" borderId="7" applyNumberFormat="0" applyFont="1" applyFill="1" applyBorder="1" applyAlignment="1" applyProtection="0">
      <alignment horizontal="center" vertical="bottom"/>
    </xf>
    <xf numFmtId="0" fontId="4" fillId="4" borderId="6" applyNumberFormat="0" applyFont="1" applyFill="1" applyBorder="1" applyAlignment="1" applyProtection="0">
      <alignment horizontal="center" vertical="center" wrapText="1"/>
    </xf>
    <xf numFmtId="0" fontId="4" fillId="4" borderId="7" applyNumberFormat="0" applyFont="1" applyFill="1" applyBorder="1" applyAlignment="1" applyProtection="0">
      <alignment horizontal="center" vertical="center" wrapText="1"/>
    </xf>
    <xf numFmtId="0" fontId="4" fillId="5" borderId="6" applyNumberFormat="0" applyFont="1" applyFill="1" applyBorder="1" applyAlignment="1" applyProtection="0">
      <alignment horizontal="center" vertical="center" wrapText="1"/>
    </xf>
    <xf numFmtId="0" fontId="4" fillId="5" borderId="7" applyNumberFormat="0" applyFont="1" applyFill="1" applyBorder="1" applyAlignment="1" applyProtection="0">
      <alignment horizontal="center" vertical="center" wrapText="1"/>
    </xf>
    <xf numFmtId="0" fontId="5" fillId="6" borderId="6" applyNumberFormat="0" applyFont="1" applyFill="1" applyBorder="1" applyAlignment="1" applyProtection="0">
      <alignment horizontal="center" vertical="center"/>
    </xf>
    <xf numFmtId="0" fontId="5" fillId="6" borderId="8" applyNumberFormat="0" applyFont="1" applyFill="1" applyBorder="1" applyAlignment="1" applyProtection="0">
      <alignment horizontal="center" vertical="center"/>
    </xf>
    <xf numFmtId="0" fontId="5" fillId="6" borderId="7" applyNumberFormat="0" applyFont="1" applyFill="1" applyBorder="1" applyAlignment="1" applyProtection="0">
      <alignment horizontal="center" vertical="center"/>
    </xf>
    <xf numFmtId="49" fontId="4" fillId="3" borderId="9" applyNumberFormat="1" applyFont="1" applyFill="1" applyBorder="1" applyAlignment="1" applyProtection="0">
      <alignment horizontal="center" vertical="bottom"/>
    </xf>
    <xf numFmtId="49" fontId="4" fillId="3" borderId="10" applyNumberFormat="1" applyFont="1" applyFill="1" applyBorder="1" applyAlignment="1" applyProtection="0">
      <alignment horizontal="center" vertical="bottom"/>
    </xf>
    <xf numFmtId="49" fontId="4" fillId="3" borderId="11" applyNumberFormat="1" applyFont="1" applyFill="1" applyBorder="1" applyAlignment="1" applyProtection="0">
      <alignment horizontal="center" vertical="bottom"/>
    </xf>
    <xf numFmtId="49" fontId="4" fillId="3" borderId="12" applyNumberFormat="1" applyFont="1" applyFill="1" applyBorder="1" applyAlignment="1" applyProtection="0">
      <alignment horizontal="center" vertical="center" wrapText="1"/>
    </xf>
    <xf numFmtId="49" fontId="4" fillId="4" borderId="10" applyNumberFormat="1" applyFont="1" applyFill="1" applyBorder="1" applyAlignment="1" applyProtection="0">
      <alignment horizontal="center" vertical="center" wrapText="1"/>
    </xf>
    <xf numFmtId="49" fontId="4" fillId="4" borderId="12" applyNumberFormat="1" applyFont="1" applyFill="1" applyBorder="1" applyAlignment="1" applyProtection="0">
      <alignment horizontal="center" vertical="center" wrapText="1"/>
    </xf>
    <xf numFmtId="49" fontId="4" fillId="5" borderId="10" applyNumberFormat="1" applyFont="1" applyFill="1" applyBorder="1" applyAlignment="1" applyProtection="0">
      <alignment horizontal="center" vertical="center" wrapText="1"/>
    </xf>
    <xf numFmtId="49" fontId="4" fillId="5" borderId="12" applyNumberFormat="1" applyFont="1" applyFill="1" applyBorder="1" applyAlignment="1" applyProtection="0">
      <alignment horizontal="center" vertical="center" wrapText="1"/>
    </xf>
    <xf numFmtId="0" fontId="7" fillId="6" borderId="10" applyNumberFormat="1" applyFont="1" applyFill="1" applyBorder="1" applyAlignment="1" applyProtection="0">
      <alignment horizontal="center" vertical="center"/>
    </xf>
    <xf numFmtId="0" fontId="7" fillId="6" borderId="11" applyNumberFormat="1" applyFont="1" applyFill="1" applyBorder="1" applyAlignment="1" applyProtection="0">
      <alignment horizontal="center" vertical="center"/>
    </xf>
    <xf numFmtId="0" fontId="7" fillId="6" borderId="12" applyNumberFormat="1" applyFont="1" applyFill="1" applyBorder="1" applyAlignment="1" applyProtection="0">
      <alignment horizontal="center" vertical="center"/>
    </xf>
    <xf numFmtId="49" fontId="4" fillId="3" borderId="13" applyNumberFormat="1" applyFont="1" applyFill="1" applyBorder="1" applyAlignment="1" applyProtection="0">
      <alignment horizontal="center" vertical="center"/>
    </xf>
    <xf numFmtId="49" fontId="8" fillId="7" borderId="14" applyNumberFormat="1" applyFont="1" applyFill="1" applyBorder="1" applyAlignment="1" applyProtection="0">
      <alignment horizontal="center" vertical="bottom"/>
    </xf>
    <xf numFmtId="49" fontId="8" fillId="7" borderId="14" applyNumberFormat="1" applyFont="1" applyFill="1" applyBorder="1" applyAlignment="1" applyProtection="0">
      <alignment horizontal="left" vertical="bottom"/>
    </xf>
    <xf numFmtId="0" fontId="8" fillId="7" borderId="14" applyNumberFormat="1" applyFont="1" applyFill="1" applyBorder="1" applyAlignment="1" applyProtection="0">
      <alignment horizontal="center" vertical="bottom"/>
    </xf>
    <xf numFmtId="59" fontId="8" fillId="7" borderId="15" applyNumberFormat="1" applyFont="1" applyFill="1" applyBorder="1" applyAlignment="1" applyProtection="0">
      <alignment horizontal="center" vertical="center"/>
    </xf>
    <xf numFmtId="2" fontId="9" fillId="4" borderId="16" applyNumberFormat="1" applyFont="1" applyFill="1" applyBorder="1" applyAlignment="1" applyProtection="0">
      <alignment horizontal="right" vertical="bottom"/>
    </xf>
    <xf numFmtId="2" fontId="9" fillId="5" borderId="16" applyNumberFormat="1" applyFont="1" applyFill="1" applyBorder="1" applyAlignment="1" applyProtection="0">
      <alignment vertical="bottom"/>
    </xf>
    <xf numFmtId="2" fontId="9" fillId="6" borderId="16" applyNumberFormat="1" applyFont="1" applyFill="1" applyBorder="1" applyAlignment="1" applyProtection="0">
      <alignment vertical="bottom"/>
    </xf>
    <xf numFmtId="2" fontId="9" fillId="6" borderId="17" applyNumberFormat="1" applyFont="1" applyFill="1" applyBorder="1" applyAlignment="1" applyProtection="0">
      <alignment vertical="bottom"/>
    </xf>
    <xf numFmtId="0" fontId="4" fillId="3" borderId="18" applyNumberFormat="0" applyFont="1" applyFill="1" applyBorder="1" applyAlignment="1" applyProtection="0">
      <alignment horizontal="center" vertical="center"/>
    </xf>
    <xf numFmtId="49" fontId="8" fillId="7" borderId="19" applyNumberFormat="1" applyFont="1" applyFill="1" applyBorder="1" applyAlignment="1" applyProtection="0">
      <alignment horizontal="center" vertical="bottom"/>
    </xf>
    <xf numFmtId="49" fontId="8" fillId="7" borderId="19" applyNumberFormat="1" applyFont="1" applyFill="1" applyBorder="1" applyAlignment="1" applyProtection="0">
      <alignment horizontal="left" vertical="bottom"/>
    </xf>
    <xf numFmtId="0" fontId="8" fillId="7" borderId="19" applyNumberFormat="1" applyFont="1" applyFill="1" applyBorder="1" applyAlignment="1" applyProtection="0">
      <alignment horizontal="center" vertical="bottom"/>
    </xf>
    <xf numFmtId="59" fontId="8" fillId="7" borderId="20" applyNumberFormat="1" applyFont="1" applyFill="1" applyBorder="1" applyAlignment="1" applyProtection="0">
      <alignment horizontal="center" vertical="center"/>
    </xf>
    <xf numFmtId="2" fontId="9" fillId="4" borderId="21" applyNumberFormat="1" applyFont="1" applyFill="1" applyBorder="1" applyAlignment="1" applyProtection="0">
      <alignment horizontal="right" vertical="bottom"/>
    </xf>
    <xf numFmtId="2" fontId="9" fillId="5" borderId="21" applyNumberFormat="1" applyFont="1" applyFill="1" applyBorder="1" applyAlignment="1" applyProtection="0">
      <alignment vertical="bottom"/>
    </xf>
    <xf numFmtId="2" fontId="9" fillId="6" borderId="21" applyNumberFormat="1" applyFont="1" applyFill="1" applyBorder="1" applyAlignment="1" applyProtection="0">
      <alignment vertical="bottom"/>
    </xf>
    <xf numFmtId="2" fontId="9" fillId="6" borderId="22" applyNumberFormat="1" applyFont="1" applyFill="1" applyBorder="1" applyAlignment="1" applyProtection="0">
      <alignment vertical="bottom"/>
    </xf>
    <xf numFmtId="0" fontId="4" fillId="3" borderId="23" applyNumberFormat="0" applyFont="1" applyFill="1" applyBorder="1" applyAlignment="1" applyProtection="0">
      <alignment horizontal="center" vertical="center"/>
    </xf>
    <xf numFmtId="0" fontId="8" fillId="7" borderId="24" applyNumberFormat="1" applyFont="1" applyFill="1" applyBorder="1" applyAlignment="1" applyProtection="0">
      <alignment horizontal="center" vertical="bottom"/>
    </xf>
    <xf numFmtId="49" fontId="8" fillId="7" borderId="24" applyNumberFormat="1" applyFont="1" applyFill="1" applyBorder="1" applyAlignment="1" applyProtection="0">
      <alignment horizontal="left" vertical="bottom"/>
    </xf>
    <xf numFmtId="59" fontId="8" fillId="7" borderId="25" applyNumberFormat="1" applyFont="1" applyFill="1" applyBorder="1" applyAlignment="1" applyProtection="0">
      <alignment horizontal="center" vertical="center"/>
    </xf>
    <xf numFmtId="2" fontId="9" fillId="4" borderId="26" applyNumberFormat="1" applyFont="1" applyFill="1" applyBorder="1" applyAlignment="1" applyProtection="0">
      <alignment horizontal="right" vertical="bottom"/>
    </xf>
    <xf numFmtId="2" fontId="9" fillId="5" borderId="26" applyNumberFormat="1" applyFont="1" applyFill="1" applyBorder="1" applyAlignment="1" applyProtection="0">
      <alignment vertical="bottom"/>
    </xf>
    <xf numFmtId="2" fontId="9" fillId="6" borderId="26" applyNumberFormat="1" applyFont="1" applyFill="1" applyBorder="1" applyAlignment="1" applyProtection="0">
      <alignment vertical="bottom"/>
    </xf>
    <xf numFmtId="2" fontId="9" fillId="6" borderId="27" applyNumberFormat="1" applyFont="1" applyFill="1" applyBorder="1" applyAlignment="1" applyProtection="0">
      <alignment vertical="bottom"/>
    </xf>
    <xf numFmtId="49" fontId="8" fillId="7" borderId="14" applyNumberFormat="1" applyFont="1" applyFill="1" applyBorder="1" applyAlignment="1" applyProtection="0">
      <alignment vertical="bottom"/>
    </xf>
    <xf numFmtId="49" fontId="8" fillId="7" borderId="19" applyNumberFormat="1" applyFont="1" applyFill="1" applyBorder="1" applyAlignment="1" applyProtection="0">
      <alignment vertical="bottom"/>
    </xf>
    <xf numFmtId="10" fontId="8" fillId="7" borderId="20" applyNumberFormat="1" applyFont="1" applyFill="1" applyBorder="1" applyAlignment="1" applyProtection="0">
      <alignment horizontal="center" vertical="center"/>
    </xf>
    <xf numFmtId="10" fontId="8" fillId="7" borderId="25" applyNumberFormat="1" applyFont="1" applyFill="1" applyBorder="1" applyAlignment="1" applyProtection="0">
      <alignment horizontal="center" vertical="center"/>
    </xf>
    <xf numFmtId="49" fontId="4" fillId="3" borderId="14" applyNumberFormat="1" applyFont="1" applyFill="1" applyBorder="1" applyAlignment="1" applyProtection="0">
      <alignment horizontal="center" vertical="center"/>
    </xf>
    <xf numFmtId="0" fontId="4" fillId="3" borderId="19" applyNumberFormat="0" applyFont="1" applyFill="1" applyBorder="1" applyAlignment="1" applyProtection="0">
      <alignment horizontal="center" vertical="center"/>
    </xf>
    <xf numFmtId="0" fontId="4" fillId="3" borderId="24" applyNumberFormat="0" applyFont="1" applyFill="1" applyBorder="1" applyAlignment="1" applyProtection="0">
      <alignment horizontal="center" vertical="center"/>
    </xf>
    <xf numFmtId="0" fontId="4" fillId="7" borderId="28" applyNumberFormat="0" applyFont="1" applyFill="1" applyBorder="1" applyAlignment="1" applyProtection="0">
      <alignment horizontal="center" vertical="center"/>
    </xf>
    <xf numFmtId="0" fontId="8" fillId="7" borderId="29" applyNumberFormat="0" applyFont="1" applyFill="1" applyBorder="1" applyAlignment="1" applyProtection="0">
      <alignment horizontal="center" vertical="bottom"/>
    </xf>
    <xf numFmtId="0" fontId="8" fillId="7" borderId="29" applyNumberFormat="0" applyFont="1" applyFill="1" applyBorder="1" applyAlignment="1" applyProtection="0">
      <alignment horizontal="left" vertical="bottom"/>
    </xf>
    <xf numFmtId="59" fontId="8" fillId="7" borderId="29" applyNumberFormat="1" applyFont="1" applyFill="1" applyBorder="1" applyAlignment="1" applyProtection="0">
      <alignment horizontal="center" vertical="center"/>
    </xf>
    <xf numFmtId="2" fontId="9" fillId="7" borderId="29" applyNumberFormat="1" applyFont="1" applyFill="1" applyBorder="1" applyAlignment="1" applyProtection="0">
      <alignment horizontal="right" vertical="bottom"/>
    </xf>
    <xf numFmtId="2" fontId="9" fillId="7" borderId="29" applyNumberFormat="1" applyFont="1" applyFill="1" applyBorder="1" applyAlignment="1" applyProtection="0">
      <alignment vertical="bottom"/>
    </xf>
    <xf numFmtId="2" fontId="9" fillId="7" borderId="30" applyNumberFormat="1" applyFont="1" applyFill="1" applyBorder="1" applyAlignment="1" applyProtection="0">
      <alignment vertical="bottom"/>
    </xf>
    <xf numFmtId="49" fontId="10" fillId="3" borderId="28" applyNumberFormat="1" applyFont="1" applyFill="1" applyBorder="1" applyAlignment="1" applyProtection="0">
      <alignment horizontal="center" vertical="center"/>
    </xf>
    <xf numFmtId="0" fontId="10" fillId="3" borderId="29" applyNumberFormat="0" applyFont="1" applyFill="1" applyBorder="1" applyAlignment="1" applyProtection="0">
      <alignment horizontal="center" vertical="center"/>
    </xf>
    <xf numFmtId="0" fontId="10" fillId="3" borderId="29" applyNumberFormat="0" applyFont="1" applyFill="1" applyBorder="1" applyAlignment="1" applyProtection="0">
      <alignment vertical="center"/>
    </xf>
    <xf numFmtId="0" fontId="10" fillId="3" borderId="30" applyNumberFormat="0" applyFont="1" applyFill="1" applyBorder="1" applyAlignment="1" applyProtection="0">
      <alignment vertical="center"/>
    </xf>
    <xf numFmtId="49" fontId="10" fillId="7" borderId="28" applyNumberFormat="1" applyFont="1" applyFill="1" applyBorder="1" applyAlignment="1" applyProtection="0">
      <alignment horizontal="left" vertical="bottom"/>
    </xf>
    <xf numFmtId="0" fontId="10" fillId="7" borderId="29" applyNumberFormat="0" applyFont="1" applyFill="1" applyBorder="1" applyAlignment="1" applyProtection="0">
      <alignment horizontal="left" vertical="bottom"/>
    </xf>
    <xf numFmtId="0" fontId="10" fillId="7" borderId="30" applyNumberFormat="0" applyFont="1" applyFill="1" applyBorder="1" applyAlignment="1" applyProtection="0">
      <alignment horizontal="left" vertical="bottom"/>
    </xf>
    <xf numFmtId="49" fontId="10" fillId="3" borderId="28" applyNumberFormat="1" applyFont="1" applyFill="1" applyBorder="1" applyAlignment="1" applyProtection="0">
      <alignment horizontal="left" vertical="bottom"/>
    </xf>
    <xf numFmtId="0" fontId="10" fillId="3" borderId="29" applyNumberFormat="0" applyFont="1" applyFill="1" applyBorder="1" applyAlignment="1" applyProtection="0">
      <alignment horizontal="left" vertical="bottom"/>
    </xf>
    <xf numFmtId="0" fontId="10" fillId="3" borderId="30" applyNumberFormat="0" applyFont="1" applyFill="1" applyBorder="1" applyAlignment="1" applyProtection="0">
      <alignment horizontal="left" vertical="bottom"/>
    </xf>
    <xf numFmtId="49" fontId="11" fillId="3" borderId="1" applyNumberFormat="1" applyFont="1" applyFill="1" applyBorder="1" applyAlignment="1" applyProtection="0">
      <alignment horizontal="left" vertical="bottom"/>
    </xf>
    <xf numFmtId="0" fontId="11" fillId="3" borderId="3" applyNumberFormat="0" applyFont="1" applyFill="1" applyBorder="1" applyAlignment="1" applyProtection="0">
      <alignment horizontal="left" vertical="bottom"/>
    </xf>
    <xf numFmtId="0" fontId="10" fillId="3" borderId="3" applyNumberFormat="0" applyFont="1" applyFill="1" applyBorder="1" applyAlignment="1" applyProtection="0">
      <alignment horizontal="left" vertical="bottom"/>
    </xf>
    <xf numFmtId="0" fontId="10" fillId="3" borderId="2" applyNumberFormat="0" applyFont="1" applyFill="1" applyBorder="1" applyAlignment="1" applyProtection="0">
      <alignment horizontal="left" vertical="bottom"/>
    </xf>
    <xf numFmtId="49" fontId="11" fillId="3" borderId="31" applyNumberFormat="1" applyFont="1" applyFill="1" applyBorder="1" applyAlignment="1" applyProtection="0">
      <alignment horizontal="left" vertical="bottom"/>
    </xf>
    <xf numFmtId="0" fontId="11" fillId="3" borderId="32" applyNumberFormat="0" applyFont="1" applyFill="1" applyBorder="1" applyAlignment="1" applyProtection="0">
      <alignment horizontal="left" vertical="bottom"/>
    </xf>
    <xf numFmtId="0" fontId="11" fillId="3" borderId="33" applyNumberFormat="0" applyFont="1" applyFill="1" applyBorder="1" applyAlignment="1" applyProtection="0">
      <alignment horizontal="left" vertical="bottom"/>
    </xf>
    <xf numFmtId="49" fontId="11" fillId="3" borderId="6" applyNumberFormat="1" applyFont="1" applyFill="1" applyBorder="1" applyAlignment="1" applyProtection="0">
      <alignment horizontal="left" vertical="bottom"/>
    </xf>
    <xf numFmtId="0" fontId="11" fillId="3" borderId="8" applyNumberFormat="0" applyFont="1" applyFill="1" applyBorder="1" applyAlignment="1" applyProtection="0">
      <alignment vertical="bottom"/>
    </xf>
    <xf numFmtId="0" fontId="11" fillId="3" borderId="8" applyNumberFormat="0" applyFont="1" applyFill="1" applyBorder="1" applyAlignment="1" applyProtection="0">
      <alignment horizontal="left" vertical="bottom"/>
    </xf>
    <xf numFmtId="0" fontId="11" fillId="3" borderId="7" applyNumberFormat="0" applyFont="1" applyFill="1" applyBorder="1" applyAlignment="1" applyProtection="0">
      <alignment vertical="bottom"/>
    </xf>
    <xf numFmtId="49" fontId="11" fillId="7" borderId="1" applyNumberFormat="1" applyFont="1" applyFill="1" applyBorder="1" applyAlignment="1" applyProtection="0">
      <alignment horizontal="left" vertical="bottom"/>
    </xf>
    <xf numFmtId="0" fontId="11" fillId="7" borderId="3" applyNumberFormat="0" applyFont="1" applyFill="1" applyBorder="1" applyAlignment="1" applyProtection="0">
      <alignment horizontal="left" vertical="bottom"/>
    </xf>
    <xf numFmtId="0" fontId="10" fillId="7" borderId="3" applyNumberFormat="0" applyFont="1" applyFill="1" applyBorder="1" applyAlignment="1" applyProtection="0">
      <alignment horizontal="left" vertical="bottom"/>
    </xf>
    <xf numFmtId="0" fontId="10" fillId="7" borderId="2" applyNumberFormat="0" applyFont="1" applyFill="1" applyBorder="1" applyAlignment="1" applyProtection="0">
      <alignment horizontal="left" vertical="bottom"/>
    </xf>
    <xf numFmtId="49" fontId="11" fillId="7" borderId="31" applyNumberFormat="1" applyFont="1" applyFill="1" applyBorder="1" applyAlignment="1" applyProtection="0">
      <alignment horizontal="left" vertical="bottom"/>
    </xf>
    <xf numFmtId="0" fontId="11" fillId="7" borderId="32" applyNumberFormat="0" applyFont="1" applyFill="1" applyBorder="1" applyAlignment="1" applyProtection="0">
      <alignment horizontal="left" vertical="bottom"/>
    </xf>
    <xf numFmtId="0" fontId="10" fillId="7" borderId="32" applyNumberFormat="0" applyFont="1" applyFill="1" applyBorder="1" applyAlignment="1" applyProtection="0">
      <alignment horizontal="left" vertical="bottom"/>
    </xf>
    <xf numFmtId="0" fontId="10" fillId="7" borderId="33" applyNumberFormat="0" applyFont="1" applyFill="1" applyBorder="1" applyAlignment="1" applyProtection="0">
      <alignment horizontal="left" vertical="bottom"/>
    </xf>
    <xf numFmtId="0" fontId="11" fillId="7" borderId="33" applyNumberFormat="0" applyFont="1" applyFill="1" applyBorder="1" applyAlignment="1" applyProtection="0">
      <alignment horizontal="left" vertical="bottom"/>
    </xf>
    <xf numFmtId="49" fontId="11" fillId="7" borderId="6" applyNumberFormat="1" applyFont="1" applyFill="1" applyBorder="1" applyAlignment="1" applyProtection="0">
      <alignment horizontal="left" vertical="bottom"/>
    </xf>
    <xf numFmtId="0" fontId="11" fillId="7" borderId="8" applyNumberFormat="0" applyFont="1" applyFill="1" applyBorder="1" applyAlignment="1" applyProtection="0">
      <alignment horizontal="left" vertical="bottom"/>
    </xf>
    <xf numFmtId="0" fontId="11" fillId="7" borderId="7" applyNumberFormat="0" applyFont="1" applyFill="1" applyBorder="1" applyAlignment="1" applyProtection="0">
      <alignment horizontal="left" vertical="bottom"/>
    </xf>
    <xf numFmtId="0" fontId="11" fillId="3" borderId="2" applyNumberFormat="0" applyFont="1" applyFill="1" applyBorder="1" applyAlignment="1" applyProtection="0">
      <alignment horizontal="left" vertical="bottom"/>
    </xf>
    <xf numFmtId="0" fontId="11" fillId="3" borderId="7" applyNumberFormat="0" applyFont="1" applyFill="1" applyBorder="1" applyAlignment="1" applyProtection="0">
      <alignment horizontal="left" vertical="bottom"/>
    </xf>
    <xf numFmtId="0" fontId="11" fillId="7" borderId="29" applyNumberFormat="0" applyFont="1" applyFill="1" applyBorder="1" applyAlignment="1" applyProtection="0">
      <alignment horizontal="left" vertical="bottom"/>
    </xf>
    <xf numFmtId="0" fontId="11" fillId="7" borderId="30" applyNumberFormat="0" applyFont="1" applyFill="1" applyBorder="1" applyAlignment="1" applyProtection="0">
      <alignment horizontal="left" vertical="bottom"/>
    </xf>
    <xf numFmtId="0" fontId="11" fillId="7" borderId="2" applyNumberFormat="0" applyFont="1" applyFill="1" applyBorder="1" applyAlignment="1" applyProtection="0">
      <alignment horizontal="left" vertical="bottom"/>
    </xf>
    <xf numFmtId="0" fontId="0" fillId="7" borderId="34" applyNumberFormat="0" applyFont="1" applyFill="1" applyBorder="1" applyAlignment="1" applyProtection="0">
      <alignment vertical="bottom"/>
    </xf>
    <xf numFmtId="49" fontId="12" fillId="7" borderId="35" applyNumberFormat="1" applyFont="1" applyFill="1" applyBorder="1" applyAlignment="1" applyProtection="0">
      <alignment vertical="bottom"/>
    </xf>
    <xf numFmtId="0" fontId="12" fillId="7" borderId="35" applyNumberFormat="0" applyFont="1" applyFill="1" applyBorder="1" applyAlignment="1" applyProtection="0">
      <alignment vertical="bottom"/>
    </xf>
    <xf numFmtId="0" fontId="0" fillId="7" borderId="35" applyNumberFormat="0" applyFont="1" applyFill="1" applyBorder="1" applyAlignment="1" applyProtection="0">
      <alignment vertical="bottom"/>
    </xf>
    <xf numFmtId="49" fontId="0" fillId="7" borderId="35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e5f1"/>
      <rgbColor rgb="ffd6d4ca"/>
      <rgbColor rgb="fffde9d9"/>
      <rgbColor rgb="ffd2dae4"/>
      <rgbColor rgb="fff2dbdb"/>
      <rgbColor rgb="ffff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</xdr:col>
      <xdr:colOff>409574</xdr:colOff>
      <xdr:row>1</xdr:row>
      <xdr:rowOff>190500</xdr:rowOff>
    </xdr:to>
    <xdr:pic>
      <xdr:nvPicPr>
        <xdr:cNvPr id="2" name="Picture 7809" descr="Picture 7809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0" y="0"/>
          <a:ext cx="828675" cy="3810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Tema do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Tema do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o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L166"/>
  <sheetViews>
    <sheetView workbookViewId="0" showGridLines="0" defaultGridColor="1"/>
  </sheetViews>
  <sheetFormatPr defaultColWidth="8.83333" defaultRowHeight="15" customHeight="1" outlineLevelRow="0" outlineLevelCol="0"/>
  <cols>
    <col min="1" max="1" width="5.5" style="1" customWidth="1"/>
    <col min="2" max="2" width="7.17188" style="1" customWidth="1"/>
    <col min="3" max="3" width="47" style="1" customWidth="1"/>
    <col min="4" max="4" width="5.67188" style="1" customWidth="1"/>
    <col min="5" max="5" width="5.5" style="1" customWidth="1"/>
    <col min="6" max="7" width="4.5" style="1" customWidth="1"/>
    <col min="8" max="8" width="5" style="1" customWidth="1"/>
    <col min="9" max="9" width="4.5" style="1" customWidth="1"/>
    <col min="10" max="12" width="4.85156" style="1" customWidth="1"/>
    <col min="13" max="16384" width="8.85156" style="1" customWidth="1"/>
  </cols>
  <sheetData>
    <row r="1" ht="15" customHeight="1">
      <c r="A1" s="2"/>
      <c r="B1" s="3"/>
      <c r="C1" t="s" s="4">
        <v>0</v>
      </c>
      <c r="D1" s="5"/>
      <c r="E1" s="6"/>
      <c r="F1" t="s" s="7">
        <v>1</v>
      </c>
      <c r="G1" s="8"/>
      <c r="H1" t="s" s="9">
        <v>2</v>
      </c>
      <c r="I1" s="10"/>
      <c r="J1" t="s" s="11">
        <v>3</v>
      </c>
      <c r="K1" s="12"/>
      <c r="L1" s="13"/>
    </row>
    <row r="2" ht="15.75" customHeight="1">
      <c r="A2" s="14"/>
      <c r="B2" s="15"/>
      <c r="C2" t="s" s="16">
        <v>4</v>
      </c>
      <c r="D2" s="17"/>
      <c r="E2" s="18"/>
      <c r="F2" s="19"/>
      <c r="G2" s="20"/>
      <c r="H2" s="21"/>
      <c r="I2" s="22"/>
      <c r="J2" s="23"/>
      <c r="K2" s="24"/>
      <c r="L2" s="25"/>
    </row>
    <row r="3" ht="23.25" customHeight="1">
      <c r="A3" t="s" s="26">
        <v>5</v>
      </c>
      <c r="B3" t="s" s="27">
        <v>6</v>
      </c>
      <c r="C3" t="s" s="28">
        <v>7</v>
      </c>
      <c r="D3" t="s" s="29">
        <v>8</v>
      </c>
      <c r="E3" t="s" s="26">
        <v>9</v>
      </c>
      <c r="F3" t="s" s="30">
        <v>10</v>
      </c>
      <c r="G3" t="s" s="31">
        <v>11</v>
      </c>
      <c r="H3" t="s" s="32">
        <v>10</v>
      </c>
      <c r="I3" t="s" s="33">
        <v>11</v>
      </c>
      <c r="J3" s="34">
        <v>100</v>
      </c>
      <c r="K3" s="35">
        <v>50</v>
      </c>
      <c r="L3" s="36">
        <v>25</v>
      </c>
    </row>
    <row r="4" ht="15" customHeight="1">
      <c r="A4" t="s" s="37">
        <v>12</v>
      </c>
      <c r="B4" t="s" s="38">
        <v>13</v>
      </c>
      <c r="C4" t="s" s="39">
        <v>14</v>
      </c>
      <c r="D4" s="40">
        <v>60</v>
      </c>
      <c r="E4" s="41">
        <v>0.065</v>
      </c>
      <c r="F4" s="42">
        <v>1.18</v>
      </c>
      <c r="G4" s="42">
        <v>1.23</v>
      </c>
      <c r="H4" s="43" cm="1">
        <f t="array" ref="H4">F4/1.09</f>
        <v>1.08256880733945</v>
      </c>
      <c r="I4" s="43" cm="1">
        <f t="array" ref="I4">G4/1.09</f>
        <v>1.12844036697248</v>
      </c>
      <c r="J4" s="44">
        <v>1.11</v>
      </c>
      <c r="K4" s="44" cm="1">
        <f t="array" ref="K4">J4/1.19</f>
        <v>0.9327731092436971</v>
      </c>
      <c r="L4" s="45" cm="1">
        <f t="array" ref="L4">J4/1.29</f>
        <v>0.86046511627907</v>
      </c>
    </row>
    <row r="5" ht="15" customHeight="1">
      <c r="A5" s="46"/>
      <c r="B5" t="s" s="47">
        <v>15</v>
      </c>
      <c r="C5" t="s" s="48">
        <v>16</v>
      </c>
      <c r="D5" s="49">
        <v>12</v>
      </c>
      <c r="E5" s="50">
        <v>0.065</v>
      </c>
      <c r="F5" s="51">
        <v>4.39</v>
      </c>
      <c r="G5" s="51">
        <v>4.81</v>
      </c>
      <c r="H5" s="52" cm="1">
        <f t="array" ref="H5">F5/1.09</f>
        <v>4.02752293577982</v>
      </c>
      <c r="I5" s="52" cm="1">
        <f t="array" ref="I5">G5/1.09</f>
        <v>4.41284403669725</v>
      </c>
      <c r="J5" s="53">
        <v>3.88</v>
      </c>
      <c r="K5" s="53" cm="1">
        <f t="array" ref="K5">J5/1.19</f>
        <v>3.26050420168067</v>
      </c>
      <c r="L5" s="54" cm="1">
        <f t="array" ref="L5">J5/1.29</f>
        <v>3.0077519379845</v>
      </c>
    </row>
    <row r="6" ht="15" customHeight="1">
      <c r="A6" s="46"/>
      <c r="B6" t="s" s="47">
        <v>17</v>
      </c>
      <c r="C6" t="s" s="48">
        <v>18</v>
      </c>
      <c r="D6" s="49">
        <v>60</v>
      </c>
      <c r="E6" s="50">
        <v>0.065</v>
      </c>
      <c r="F6" s="51">
        <v>0.71</v>
      </c>
      <c r="G6" s="51">
        <v>0.78</v>
      </c>
      <c r="H6" s="52" cm="1">
        <f t="array" ref="H6">F6/1.09</f>
        <v>0.651376146788991</v>
      </c>
      <c r="I6" s="52" cm="1">
        <f t="array" ref="I6">G6/1.09</f>
        <v>0.715596330275229</v>
      </c>
      <c r="J6" s="53">
        <v>0.66</v>
      </c>
      <c r="K6" s="53" cm="1">
        <f t="array" ref="K6">J6/1.19</f>
        <v>0.554621848739496</v>
      </c>
      <c r="L6" s="54" cm="1">
        <f t="array" ref="L6">J6/1.29</f>
        <v>0.511627906976744</v>
      </c>
    </row>
    <row r="7" ht="15" customHeight="1">
      <c r="A7" s="46"/>
      <c r="B7" t="s" s="47">
        <v>19</v>
      </c>
      <c r="C7" t="s" s="48">
        <v>20</v>
      </c>
      <c r="D7" s="49">
        <v>12</v>
      </c>
      <c r="E7" s="50">
        <v>0.065</v>
      </c>
      <c r="F7" s="51">
        <v>3.34</v>
      </c>
      <c r="G7" s="51">
        <v>3.73</v>
      </c>
      <c r="H7" s="52" cm="1">
        <f t="array" ref="H7">F7/1.09</f>
        <v>3.06422018348624</v>
      </c>
      <c r="I7" s="52" cm="1">
        <f t="array" ref="I7">G7/1.09</f>
        <v>3.42201834862385</v>
      </c>
      <c r="J7" s="53">
        <v>3</v>
      </c>
      <c r="K7" s="53" cm="1">
        <f t="array" ref="K7">J7/1.19</f>
        <v>2.52100840336134</v>
      </c>
      <c r="L7" s="54" cm="1">
        <f t="array" ref="L7">J7/1.29</f>
        <v>2.32558139534884</v>
      </c>
    </row>
    <row r="8" ht="15" customHeight="1">
      <c r="A8" s="46"/>
      <c r="B8" t="s" s="47">
        <v>21</v>
      </c>
      <c r="C8" t="s" s="48">
        <v>22</v>
      </c>
      <c r="D8" s="49">
        <v>5</v>
      </c>
      <c r="E8" s="50">
        <v>0.065</v>
      </c>
      <c r="F8" s="51">
        <v>11.13</v>
      </c>
      <c r="G8" s="51">
        <v>11.63</v>
      </c>
      <c r="H8" s="52" cm="1">
        <f t="array" ref="H8">F8/1.09</f>
        <v>10.2110091743119</v>
      </c>
      <c r="I8" s="52" cm="1">
        <f t="array" ref="I8">G8/1.09</f>
        <v>10.6697247706422</v>
      </c>
      <c r="J8" s="53">
        <v>11.01</v>
      </c>
      <c r="K8" s="53" cm="1">
        <f t="array" ref="K8">J8/1.19</f>
        <v>9.25210084033613</v>
      </c>
      <c r="L8" s="54" cm="1">
        <f t="array" ref="L8">J8/1.29</f>
        <v>8.53488372093023</v>
      </c>
    </row>
    <row r="9" ht="15" customHeight="1">
      <c r="A9" s="46"/>
      <c r="B9" s="49">
        <v>1010</v>
      </c>
      <c r="C9" t="s" s="48">
        <v>23</v>
      </c>
      <c r="D9" s="49">
        <v>12</v>
      </c>
      <c r="E9" s="50">
        <v>0.065</v>
      </c>
      <c r="F9" s="51">
        <v>3.66</v>
      </c>
      <c r="G9" s="51">
        <v>3.94</v>
      </c>
      <c r="H9" s="52" cm="1">
        <f t="array" ref="H9">F9/1.09</f>
        <v>3.35779816513761</v>
      </c>
      <c r="I9" s="52" cm="1">
        <f t="array" ref="I9">G9/1.09</f>
        <v>3.61467889908257</v>
      </c>
      <c r="J9" s="53">
        <v>3.3</v>
      </c>
      <c r="K9" s="53" cm="1">
        <f t="array" ref="K9">J9/1.19</f>
        <v>2.77310924369748</v>
      </c>
      <c r="L9" s="54" cm="1">
        <f t="array" ref="L9">J9/1.29</f>
        <v>2.55813953488372</v>
      </c>
    </row>
    <row r="10" ht="15" customHeight="1">
      <c r="A10" s="46"/>
      <c r="B10" s="49">
        <v>1011</v>
      </c>
      <c r="C10" t="s" s="48">
        <v>24</v>
      </c>
      <c r="D10" s="49">
        <v>12</v>
      </c>
      <c r="E10" s="50">
        <v>0.065</v>
      </c>
      <c r="F10" s="51">
        <v>11.5</v>
      </c>
      <c r="G10" s="51">
        <v>11.63</v>
      </c>
      <c r="H10" s="52" cm="1">
        <f t="array" ref="H10">F10/1.09</f>
        <v>10.5504587155963</v>
      </c>
      <c r="I10" s="52" cm="1">
        <f t="array" ref="I10">G10/1.09</f>
        <v>10.6697247706422</v>
      </c>
      <c r="J10" s="53">
        <v>11.36</v>
      </c>
      <c r="K10" s="53" cm="1">
        <f t="array" ref="K10">J10/1.19</f>
        <v>9.54621848739496</v>
      </c>
      <c r="L10" s="54" cm="1">
        <f t="array" ref="L10">J10/1.29</f>
        <v>8.8062015503876</v>
      </c>
    </row>
    <row r="11" ht="15" customHeight="1">
      <c r="A11" s="46"/>
      <c r="B11" s="49">
        <v>1012</v>
      </c>
      <c r="C11" t="s" s="48">
        <v>25</v>
      </c>
      <c r="D11" s="49">
        <v>12</v>
      </c>
      <c r="E11" s="50">
        <v>0.065</v>
      </c>
      <c r="F11" s="51">
        <v>9.140000000000001</v>
      </c>
      <c r="G11" s="51">
        <v>9.24</v>
      </c>
      <c r="H11" s="52" cm="1">
        <f t="array" ref="H11">F11/1.09</f>
        <v>8.38532110091743</v>
      </c>
      <c r="I11" s="52" cm="1">
        <f t="array" ref="I11">G11/1.09</f>
        <v>8.47706422018349</v>
      </c>
      <c r="J11" s="53">
        <v>9.039999999999999</v>
      </c>
      <c r="K11" s="53" cm="1">
        <f t="array" ref="K11">J11/1.19</f>
        <v>7.59663865546218</v>
      </c>
      <c r="L11" s="54" cm="1">
        <f t="array" ref="L11">J11/1.29</f>
        <v>7.0077519379845</v>
      </c>
    </row>
    <row r="12" ht="15" customHeight="1">
      <c r="A12" s="46"/>
      <c r="B12" s="49">
        <v>1013</v>
      </c>
      <c r="C12" t="s" s="48">
        <v>26</v>
      </c>
      <c r="D12" s="49">
        <v>12</v>
      </c>
      <c r="E12" s="50">
        <v>0.065</v>
      </c>
      <c r="F12" s="51">
        <v>19.55</v>
      </c>
      <c r="G12" s="51">
        <v>19.74</v>
      </c>
      <c r="H12" s="52" cm="1">
        <f t="array" ref="H12">F12/1.09</f>
        <v>17.9357798165138</v>
      </c>
      <c r="I12" s="52" cm="1">
        <f t="array" ref="I12">G12/1.09</f>
        <v>18.1100917431193</v>
      </c>
      <c r="J12" s="53">
        <v>19.33</v>
      </c>
      <c r="K12" s="53" cm="1">
        <f t="array" ref="K12">J12/1.19</f>
        <v>16.2436974789916</v>
      </c>
      <c r="L12" s="54" cm="1">
        <f t="array" ref="L12">J12/1.29</f>
        <v>14.984496124031</v>
      </c>
    </row>
    <row r="13" ht="15" customHeight="1">
      <c r="A13" s="46"/>
      <c r="B13" s="49">
        <v>1023</v>
      </c>
      <c r="C13" t="s" s="48">
        <v>27</v>
      </c>
      <c r="D13" s="49">
        <v>12</v>
      </c>
      <c r="E13" s="50">
        <v>0.065</v>
      </c>
      <c r="F13" s="51">
        <v>7.53</v>
      </c>
      <c r="G13" s="51">
        <v>7.91</v>
      </c>
      <c r="H13" s="52" cm="1">
        <f t="array" ref="H13">F13/1.09</f>
        <v>6.90825688073394</v>
      </c>
      <c r="I13" s="52" cm="1">
        <f t="array" ref="I13">G13/1.09</f>
        <v>7.25688073394495</v>
      </c>
      <c r="J13" s="53">
        <v>7.04</v>
      </c>
      <c r="K13" s="53" cm="1">
        <f t="array" ref="K13">J13/1.19</f>
        <v>5.91596638655462</v>
      </c>
      <c r="L13" s="54" cm="1">
        <f t="array" ref="L13">J13/1.29</f>
        <v>5.45736434108527</v>
      </c>
    </row>
    <row r="14" ht="15" customHeight="1">
      <c r="A14" s="46"/>
      <c r="B14" s="49">
        <v>1024</v>
      </c>
      <c r="C14" t="s" s="48">
        <v>28</v>
      </c>
      <c r="D14" s="49">
        <v>12</v>
      </c>
      <c r="E14" s="50">
        <v>0.065</v>
      </c>
      <c r="F14" s="51">
        <v>9.65</v>
      </c>
      <c r="G14" s="51">
        <v>10.19</v>
      </c>
      <c r="H14" s="52" cm="1">
        <f t="array" ref="H14">F14/1.09</f>
        <v>8.853211009174309</v>
      </c>
      <c r="I14" s="52" cm="1">
        <f t="array" ref="I14">G14/1.09</f>
        <v>9.348623853211009</v>
      </c>
      <c r="J14" s="53">
        <v>8.98</v>
      </c>
      <c r="K14" s="53" cm="1">
        <f t="array" ref="K14">J14/1.19</f>
        <v>7.54621848739496</v>
      </c>
      <c r="L14" s="54" cm="1">
        <f t="array" ref="L14">J14/1.29</f>
        <v>6.96124031007752</v>
      </c>
    </row>
    <row r="15" ht="15" customHeight="1">
      <c r="A15" s="46"/>
      <c r="B15" s="49">
        <v>1025</v>
      </c>
      <c r="C15" t="s" s="48">
        <v>29</v>
      </c>
      <c r="D15" s="49">
        <v>12</v>
      </c>
      <c r="E15" s="50">
        <v>0.065</v>
      </c>
      <c r="F15" s="51">
        <v>11.78</v>
      </c>
      <c r="G15" s="51">
        <v>12.48</v>
      </c>
      <c r="H15" s="52" cm="1">
        <f t="array" ref="H15">F15/1.09</f>
        <v>10.8073394495413</v>
      </c>
      <c r="I15" s="52" cm="1">
        <f t="array" ref="I15">G15/1.09</f>
        <v>11.4495412844037</v>
      </c>
      <c r="J15" s="53">
        <v>10.91</v>
      </c>
      <c r="K15" s="53" cm="1">
        <f t="array" ref="K15">J15/1.19</f>
        <v>9.168067226890759</v>
      </c>
      <c r="L15" s="54" cm="1">
        <f t="array" ref="L15">J15/1.29</f>
        <v>8.45736434108527</v>
      </c>
    </row>
    <row r="16" ht="15" customHeight="1">
      <c r="A16" s="46"/>
      <c r="B16" t="s" s="47">
        <v>30</v>
      </c>
      <c r="C16" t="s" s="48">
        <v>31</v>
      </c>
      <c r="D16" s="49">
        <v>12</v>
      </c>
      <c r="E16" s="50">
        <v>0.065</v>
      </c>
      <c r="F16" s="51">
        <v>7.35</v>
      </c>
      <c r="G16" s="51">
        <v>7.5</v>
      </c>
      <c r="H16" s="52" cm="1">
        <f t="array" ref="H16">F16/1.09</f>
        <v>6.74311926605505</v>
      </c>
      <c r="I16" s="52" cm="1">
        <f t="array" ref="I16">G16/1.09</f>
        <v>6.88073394495413</v>
      </c>
      <c r="J16" s="53">
        <v>7.19</v>
      </c>
      <c r="K16" s="53" cm="1">
        <f t="array" ref="K16">J16/1.19</f>
        <v>6.04201680672269</v>
      </c>
      <c r="L16" s="54" cm="1">
        <f t="array" ref="L16">J16/1.29</f>
        <v>5.57364341085271</v>
      </c>
    </row>
    <row r="17" ht="15" customHeight="1">
      <c r="A17" s="46"/>
      <c r="B17" t="s" s="47">
        <v>32</v>
      </c>
      <c r="C17" t="s" s="48">
        <v>33</v>
      </c>
      <c r="D17" s="49">
        <v>12</v>
      </c>
      <c r="E17" s="50">
        <v>0.065</v>
      </c>
      <c r="F17" s="51">
        <v>10.89</v>
      </c>
      <c r="G17" s="51">
        <v>11.11</v>
      </c>
      <c r="H17" s="52" cm="1">
        <f t="array" ref="H17">F17/1.09</f>
        <v>9.990825688073389</v>
      </c>
      <c r="I17" s="52" cm="1">
        <f t="array" ref="I17">G17/1.09</f>
        <v>10.1926605504587</v>
      </c>
      <c r="J17" s="53">
        <v>10.6</v>
      </c>
      <c r="K17" s="53" cm="1">
        <f t="array" ref="K17">J17/1.19</f>
        <v>8.907563025210081</v>
      </c>
      <c r="L17" s="54" cm="1">
        <f t="array" ref="L17">J17/1.29</f>
        <v>8.21705426356589</v>
      </c>
    </row>
    <row r="18" ht="15.75" customHeight="1">
      <c r="A18" s="55"/>
      <c r="B18" s="56">
        <v>1038</v>
      </c>
      <c r="C18" t="s" s="57">
        <v>34</v>
      </c>
      <c r="D18" s="56">
        <v>24</v>
      </c>
      <c r="E18" s="58">
        <v>0.065</v>
      </c>
      <c r="F18" s="59">
        <v>4.7</v>
      </c>
      <c r="G18" s="59">
        <v>4.84</v>
      </c>
      <c r="H18" s="60" cm="1">
        <f t="array" ref="H18">F18/1.09</f>
        <v>4.31192660550459</v>
      </c>
      <c r="I18" s="60" cm="1">
        <f t="array" ref="I18">G18/1.09</f>
        <v>4.44036697247706</v>
      </c>
      <c r="J18" s="61">
        <v>4.55</v>
      </c>
      <c r="K18" s="61" cm="1">
        <f t="array" ref="K18">J18/1.19</f>
        <v>3.82352941176471</v>
      </c>
      <c r="L18" s="62" cm="1">
        <f t="array" ref="L18">J18/1.29</f>
        <v>3.52713178294574</v>
      </c>
    </row>
    <row r="19" ht="15" customHeight="1">
      <c r="A19" t="s" s="37">
        <v>35</v>
      </c>
      <c r="B19" s="40">
        <v>2100</v>
      </c>
      <c r="C19" t="s" s="63">
        <v>36</v>
      </c>
      <c r="D19" s="40">
        <v>6</v>
      </c>
      <c r="E19" s="41">
        <v>0.065</v>
      </c>
      <c r="F19" s="42">
        <v>10.8</v>
      </c>
      <c r="G19" s="42">
        <v>12.05</v>
      </c>
      <c r="H19" s="43" cm="1">
        <f t="array" ref="H19">F19/1.09</f>
        <v>9.908256880733941</v>
      </c>
      <c r="I19" s="43" cm="1">
        <f t="array" ref="I19">G19/1.09</f>
        <v>11.0550458715596</v>
      </c>
      <c r="J19" s="44">
        <v>9.25</v>
      </c>
      <c r="K19" s="44" cm="1">
        <f t="array" ref="K19">J19/1.19</f>
        <v>7.77310924369748</v>
      </c>
      <c r="L19" s="45" cm="1">
        <f t="array" ref="L19">J19/1.29</f>
        <v>7.17054263565891</v>
      </c>
    </row>
    <row r="20" ht="15" customHeight="1">
      <c r="A20" s="46"/>
      <c r="B20" s="49">
        <v>2101</v>
      </c>
      <c r="C20" t="s" s="64">
        <v>37</v>
      </c>
      <c r="D20" s="49">
        <v>6</v>
      </c>
      <c r="E20" s="50">
        <v>0.065</v>
      </c>
      <c r="F20" s="51">
        <v>8.779999999999999</v>
      </c>
      <c r="G20" s="51">
        <v>9.98</v>
      </c>
      <c r="H20" s="52" cm="1">
        <f t="array" ref="H20">F20/1.09</f>
        <v>8.05504587155963</v>
      </c>
      <c r="I20" s="52" cm="1">
        <f t="array" ref="I20">G20/1.09</f>
        <v>9.155963302752291</v>
      </c>
      <c r="J20" s="53">
        <v>7.29</v>
      </c>
      <c r="K20" s="53" cm="1">
        <f t="array" ref="K20">J20/1.19</f>
        <v>6.12605042016807</v>
      </c>
      <c r="L20" s="54" cm="1">
        <f t="array" ref="L20">J20/1.29</f>
        <v>5.65116279069767</v>
      </c>
    </row>
    <row r="21" ht="15" customHeight="1">
      <c r="A21" s="46"/>
      <c r="B21" s="49">
        <v>2102</v>
      </c>
      <c r="C21" t="s" s="64">
        <v>38</v>
      </c>
      <c r="D21" s="49">
        <v>6</v>
      </c>
      <c r="E21" s="65">
        <v>0.0975</v>
      </c>
      <c r="F21" s="51">
        <v>9.050000000000001</v>
      </c>
      <c r="G21" s="51">
        <v>10.65</v>
      </c>
      <c r="H21" s="52" cm="1">
        <f t="array" ref="H21">F21/1.09</f>
        <v>8.30275229357798</v>
      </c>
      <c r="I21" s="52" cm="1">
        <f t="array" ref="I21">G21/1.09</f>
        <v>9.77064220183486</v>
      </c>
      <c r="J21" s="53">
        <v>7.04</v>
      </c>
      <c r="K21" s="53" cm="1">
        <f t="array" ref="K21">J21/1.19</f>
        <v>5.91596638655462</v>
      </c>
      <c r="L21" s="54" cm="1">
        <f t="array" ref="L21">J21/1.29</f>
        <v>5.45736434108527</v>
      </c>
    </row>
    <row r="22" ht="15" customHeight="1">
      <c r="A22" s="46"/>
      <c r="B22" s="49">
        <v>2103</v>
      </c>
      <c r="C22" t="s" s="64">
        <v>39</v>
      </c>
      <c r="D22" s="49">
        <v>6</v>
      </c>
      <c r="E22" s="65">
        <v>0.0975</v>
      </c>
      <c r="F22" s="51">
        <v>6.79</v>
      </c>
      <c r="G22" s="51">
        <v>7.46</v>
      </c>
      <c r="H22" s="52" cm="1">
        <f t="array" ref="H22">F22/1.09</f>
        <v>6.22935779816514</v>
      </c>
      <c r="I22" s="52" cm="1">
        <f t="array" ref="I22">G22/1.09</f>
        <v>6.84403669724771</v>
      </c>
      <c r="J22" s="53">
        <v>5.93</v>
      </c>
      <c r="K22" s="53" cm="1">
        <f t="array" ref="K22">J22/1.19</f>
        <v>4.98319327731092</v>
      </c>
      <c r="L22" s="54" cm="1">
        <f t="array" ref="L22">J22/1.29</f>
        <v>4.5968992248062</v>
      </c>
    </row>
    <row r="23" ht="15" customHeight="1">
      <c r="A23" s="46"/>
      <c r="B23" s="49">
        <v>2104</v>
      </c>
      <c r="C23" t="s" s="64">
        <v>40</v>
      </c>
      <c r="D23" s="49">
        <v>12</v>
      </c>
      <c r="E23" s="50">
        <v>0.065</v>
      </c>
      <c r="F23" s="51">
        <v>11.25</v>
      </c>
      <c r="G23" s="51">
        <v>12.78</v>
      </c>
      <c r="H23" s="52" cm="1">
        <f t="array" ref="H23">F23/1.09</f>
        <v>10.3211009174312</v>
      </c>
      <c r="I23" s="52" cm="1">
        <f t="array" ref="I23">G23/1.09</f>
        <v>11.7247706422018</v>
      </c>
      <c r="J23" s="53">
        <v>9.35</v>
      </c>
      <c r="K23" s="53" cm="1">
        <f t="array" ref="K23">J23/1.19</f>
        <v>7.85714285714286</v>
      </c>
      <c r="L23" s="54" cm="1">
        <f t="array" ref="L23">J23/1.29</f>
        <v>7.24806201550388</v>
      </c>
    </row>
    <row r="24" ht="15" customHeight="1">
      <c r="A24" s="46"/>
      <c r="B24" s="49">
        <v>2105</v>
      </c>
      <c r="C24" t="s" s="64">
        <v>41</v>
      </c>
      <c r="D24" s="49">
        <v>6</v>
      </c>
      <c r="E24" s="65">
        <v>0.0975</v>
      </c>
      <c r="F24" s="51">
        <v>11.96</v>
      </c>
      <c r="G24" s="51">
        <v>13.46</v>
      </c>
      <c r="H24" s="52" cm="1">
        <f t="array" ref="H24">F24/1.09</f>
        <v>10.9724770642202</v>
      </c>
      <c r="I24" s="52" cm="1">
        <f t="array" ref="I24">G24/1.09</f>
        <v>12.348623853211</v>
      </c>
      <c r="J24" s="53">
        <v>10.1</v>
      </c>
      <c r="K24" s="53" cm="1">
        <f t="array" ref="K24">J24/1.19</f>
        <v>8.48739495798319</v>
      </c>
      <c r="L24" s="54" cm="1">
        <f t="array" ref="L24">J24/1.29</f>
        <v>7.82945736434109</v>
      </c>
    </row>
    <row r="25" ht="15" customHeight="1">
      <c r="A25" s="46"/>
      <c r="B25" s="49">
        <v>2106</v>
      </c>
      <c r="C25" t="s" s="64">
        <v>42</v>
      </c>
      <c r="D25" s="49">
        <v>12</v>
      </c>
      <c r="E25" s="65">
        <v>0.0975</v>
      </c>
      <c r="F25" s="51">
        <v>10.31</v>
      </c>
      <c r="G25" s="51">
        <v>11.25</v>
      </c>
      <c r="H25" s="52" cm="1">
        <f t="array" ref="H25">F25/1.09</f>
        <v>9.458715596330279</v>
      </c>
      <c r="I25" s="52" cm="1">
        <f t="array" ref="I25">G25/1.09</f>
        <v>10.3211009174312</v>
      </c>
      <c r="J25" s="53">
        <v>9.1</v>
      </c>
      <c r="K25" s="53" cm="1">
        <f t="array" ref="K25">J25/1.19</f>
        <v>7.64705882352941</v>
      </c>
      <c r="L25" s="54" cm="1">
        <f t="array" ref="L25">J25/1.29</f>
        <v>7.05426356589147</v>
      </c>
    </row>
    <row r="26" ht="15" customHeight="1">
      <c r="A26" s="46"/>
      <c r="B26" s="49">
        <v>2107</v>
      </c>
      <c r="C26" t="s" s="64">
        <v>43</v>
      </c>
      <c r="D26" s="49">
        <v>6</v>
      </c>
      <c r="E26" s="65">
        <v>0.0975</v>
      </c>
      <c r="F26" s="51">
        <v>10.81</v>
      </c>
      <c r="G26" s="51">
        <v>11.38</v>
      </c>
      <c r="H26" s="52" cm="1">
        <f t="array" ref="H26">F26/1.09</f>
        <v>9.917431192660549</v>
      </c>
      <c r="I26" s="52" cm="1">
        <f t="array" ref="I26">G26/1.09</f>
        <v>10.4403669724771</v>
      </c>
      <c r="J26" s="53">
        <v>10.13</v>
      </c>
      <c r="K26" s="53" cm="1">
        <f t="array" ref="K26">J26/1.19</f>
        <v>8.51260504201681</v>
      </c>
      <c r="L26" s="54" cm="1">
        <f t="array" ref="L26">J26/1.29</f>
        <v>7.85271317829457</v>
      </c>
    </row>
    <row r="27" ht="15" customHeight="1">
      <c r="A27" s="46"/>
      <c r="B27" s="49">
        <v>2139</v>
      </c>
      <c r="C27" t="s" s="48">
        <v>44</v>
      </c>
      <c r="D27" s="49">
        <v>12</v>
      </c>
      <c r="E27" s="65">
        <v>0.0975</v>
      </c>
      <c r="F27" s="51">
        <v>4.16</v>
      </c>
      <c r="G27" s="51">
        <v>4.33</v>
      </c>
      <c r="H27" s="52" cm="1">
        <f t="array" ref="H27">F27/1.09</f>
        <v>3.81651376146789</v>
      </c>
      <c r="I27" s="52" cm="1">
        <f t="array" ref="I27">G27/1.09</f>
        <v>3.97247706422018</v>
      </c>
      <c r="J27" s="53">
        <v>3.95</v>
      </c>
      <c r="K27" s="53" cm="1">
        <f t="array" ref="K27">J27/1.19</f>
        <v>3.31932773109244</v>
      </c>
      <c r="L27" s="54" cm="1">
        <f t="array" ref="L27">J27/1.29</f>
        <v>3.06201550387597</v>
      </c>
    </row>
    <row r="28" ht="15" customHeight="1">
      <c r="A28" s="46"/>
      <c r="B28" s="49">
        <v>2140</v>
      </c>
      <c r="C28" t="s" s="48">
        <v>45</v>
      </c>
      <c r="D28" s="49">
        <v>24</v>
      </c>
      <c r="E28" s="65">
        <v>0.0975</v>
      </c>
      <c r="F28" s="51">
        <v>0.83</v>
      </c>
      <c r="G28" s="51">
        <v>0.84</v>
      </c>
      <c r="H28" s="52" cm="1">
        <f t="array" ref="H28">F28/1.09</f>
        <v>0.761467889908257</v>
      </c>
      <c r="I28" s="52" cm="1">
        <f t="array" ref="I28">G28/1.09</f>
        <v>0.770642201834862</v>
      </c>
      <c r="J28" s="53">
        <v>0.8</v>
      </c>
      <c r="K28" s="53" cm="1">
        <f t="array" ref="K28">J28/1.19</f>
        <v>0.672268907563025</v>
      </c>
      <c r="L28" s="54" cm="1">
        <f t="array" ref="L28">J28/1.29</f>
        <v>0.62015503875969</v>
      </c>
    </row>
    <row r="29" ht="15" customHeight="1">
      <c r="A29" s="46"/>
      <c r="B29" s="49">
        <v>2141</v>
      </c>
      <c r="C29" t="s" s="48">
        <v>46</v>
      </c>
      <c r="D29" s="49">
        <v>12</v>
      </c>
      <c r="E29" s="65">
        <v>0.0975</v>
      </c>
      <c r="F29" s="51">
        <v>2.25</v>
      </c>
      <c r="G29" s="51">
        <v>2.44</v>
      </c>
      <c r="H29" s="52" cm="1">
        <f t="array" ref="H29">F29/1.09</f>
        <v>2.06422018348624</v>
      </c>
      <c r="I29" s="52" cm="1">
        <f t="array" ref="I29">G29/1.09</f>
        <v>2.23853211009174</v>
      </c>
      <c r="J29" s="53">
        <v>2.01</v>
      </c>
      <c r="K29" s="53" cm="1">
        <f t="array" ref="K29">J29/1.19</f>
        <v>1.6890756302521</v>
      </c>
      <c r="L29" s="54" cm="1">
        <f t="array" ref="L29">J29/1.29</f>
        <v>1.55813953488372</v>
      </c>
    </row>
    <row r="30" ht="15" customHeight="1">
      <c r="A30" s="46"/>
      <c r="B30" s="49">
        <v>2142</v>
      </c>
      <c r="C30" t="s" s="48">
        <v>47</v>
      </c>
      <c r="D30" s="49">
        <v>12</v>
      </c>
      <c r="E30" s="65">
        <v>0.0975</v>
      </c>
      <c r="F30" s="51">
        <v>3.43</v>
      </c>
      <c r="G30" s="51">
        <v>3.71</v>
      </c>
      <c r="H30" s="52" cm="1">
        <f t="array" ref="H30">F30/1.09</f>
        <v>3.14678899082569</v>
      </c>
      <c r="I30" s="52" cm="1">
        <f t="array" ref="I30">G30/1.09</f>
        <v>3.40366972477064</v>
      </c>
      <c r="J30" s="53">
        <v>3.06</v>
      </c>
      <c r="K30" s="53" cm="1">
        <f t="array" ref="K30">J30/1.19</f>
        <v>2.57142857142857</v>
      </c>
      <c r="L30" s="54" cm="1">
        <f t="array" ref="L30">J30/1.29</f>
        <v>2.37209302325581</v>
      </c>
    </row>
    <row r="31" ht="15" customHeight="1">
      <c r="A31" s="46"/>
      <c r="B31" s="49">
        <v>2143</v>
      </c>
      <c r="C31" t="s" s="48">
        <v>48</v>
      </c>
      <c r="D31" s="49">
        <v>12</v>
      </c>
      <c r="E31" s="65">
        <v>0.0975</v>
      </c>
      <c r="F31" s="51">
        <v>4.51</v>
      </c>
      <c r="G31" s="51">
        <v>5.01</v>
      </c>
      <c r="H31" s="52" cm="1">
        <f t="array" ref="H31">F31/1.09</f>
        <v>4.13761467889908</v>
      </c>
      <c r="I31" s="52" cm="1">
        <f t="array" ref="I31">G31/1.09</f>
        <v>4.59633027522936</v>
      </c>
      <c r="J31" s="53">
        <v>3.88</v>
      </c>
      <c r="K31" s="53" cm="1">
        <f t="array" ref="K31">J31/1.19</f>
        <v>3.26050420168067</v>
      </c>
      <c r="L31" s="54" cm="1">
        <f t="array" ref="L31">J31/1.29</f>
        <v>3.0077519379845</v>
      </c>
    </row>
    <row r="32" ht="15" customHeight="1">
      <c r="A32" s="46"/>
      <c r="B32" s="49">
        <v>2144</v>
      </c>
      <c r="C32" t="s" s="48">
        <v>49</v>
      </c>
      <c r="D32" s="49">
        <v>12</v>
      </c>
      <c r="E32" s="65">
        <v>0.0975</v>
      </c>
      <c r="F32" s="51">
        <v>5.81</v>
      </c>
      <c r="G32" s="51">
        <v>6.55</v>
      </c>
      <c r="H32" s="52" cm="1">
        <f t="array" ref="H32">F32/1.09</f>
        <v>5.3302752293578</v>
      </c>
      <c r="I32" s="52" cm="1">
        <f t="array" ref="I32">G32/1.09</f>
        <v>6.00917431192661</v>
      </c>
      <c r="J32" s="53">
        <v>4.9</v>
      </c>
      <c r="K32" s="53" cm="1">
        <f t="array" ref="K32">J32/1.19</f>
        <v>4.11764705882353</v>
      </c>
      <c r="L32" s="54" cm="1">
        <f t="array" ref="L32">J32/1.29</f>
        <v>3.7984496124031</v>
      </c>
    </row>
    <row r="33" ht="15" customHeight="1">
      <c r="A33" s="46"/>
      <c r="B33" s="49">
        <v>2145</v>
      </c>
      <c r="C33" t="s" s="48">
        <v>50</v>
      </c>
      <c r="D33" s="49">
        <v>12</v>
      </c>
      <c r="E33" s="65">
        <v>0.0975</v>
      </c>
      <c r="F33" s="51">
        <v>4.61</v>
      </c>
      <c r="G33" s="51">
        <v>5.11</v>
      </c>
      <c r="H33" s="52" cm="1">
        <f t="array" ref="H33">F33/1.09</f>
        <v>4.22935779816514</v>
      </c>
      <c r="I33" s="52" cm="1">
        <f t="array" ref="I33">G33/1.09</f>
        <v>4.68807339449541</v>
      </c>
      <c r="J33" s="53">
        <v>3.99</v>
      </c>
      <c r="K33" s="53" cm="1">
        <f t="array" ref="K33">J33/1.19</f>
        <v>3.35294117647059</v>
      </c>
      <c r="L33" s="54" cm="1">
        <f t="array" ref="L33">J33/1.29</f>
        <v>3.09302325581395</v>
      </c>
    </row>
    <row r="34" ht="15" customHeight="1">
      <c r="A34" s="46"/>
      <c r="B34" s="49">
        <v>2146</v>
      </c>
      <c r="C34" t="s" s="48">
        <v>51</v>
      </c>
      <c r="D34" s="49">
        <v>12</v>
      </c>
      <c r="E34" s="65">
        <v>0.0975</v>
      </c>
      <c r="F34" s="51">
        <v>1.74</v>
      </c>
      <c r="G34" s="51">
        <v>1.79</v>
      </c>
      <c r="H34" s="52" cm="1">
        <f t="array" ref="H34">F34/1.09</f>
        <v>1.59633027522936</v>
      </c>
      <c r="I34" s="52" cm="1">
        <f t="array" ref="I34">G34/1.09</f>
        <v>1.64220183486239</v>
      </c>
      <c r="J34" s="53">
        <v>1.68</v>
      </c>
      <c r="K34" s="53" cm="1">
        <f t="array" ref="K34">J34/1.19</f>
        <v>1.41176470588235</v>
      </c>
      <c r="L34" s="54" cm="1">
        <f t="array" ref="L34">J34/1.29</f>
        <v>1.30232558139535</v>
      </c>
    </row>
    <row r="35" ht="15" customHeight="1">
      <c r="A35" s="46"/>
      <c r="B35" s="49">
        <v>2147</v>
      </c>
      <c r="C35" t="s" s="48">
        <v>52</v>
      </c>
      <c r="D35" s="49">
        <v>12</v>
      </c>
      <c r="E35" s="50">
        <v>0.065</v>
      </c>
      <c r="F35" s="51">
        <v>7.21</v>
      </c>
      <c r="G35" s="51">
        <v>7.49</v>
      </c>
      <c r="H35" s="52" cm="1">
        <f t="array" ref="H35">F35/1.09</f>
        <v>6.61467889908257</v>
      </c>
      <c r="I35" s="52" cm="1">
        <f t="array" ref="I35">G35/1.09</f>
        <v>6.87155963302752</v>
      </c>
      <c r="J35" s="53">
        <v>6.86</v>
      </c>
      <c r="K35" s="53" cm="1">
        <f t="array" ref="K35">J35/1.19</f>
        <v>5.76470588235294</v>
      </c>
      <c r="L35" s="54" cm="1">
        <f t="array" ref="L35">J35/1.29</f>
        <v>5.31782945736434</v>
      </c>
    </row>
    <row r="36" ht="15" customHeight="1">
      <c r="A36" s="46"/>
      <c r="B36" s="49">
        <v>2148</v>
      </c>
      <c r="C36" t="s" s="48">
        <v>53</v>
      </c>
      <c r="D36" s="49">
        <v>24</v>
      </c>
      <c r="E36" s="50">
        <v>0.065</v>
      </c>
      <c r="F36" s="51">
        <v>1.88</v>
      </c>
      <c r="G36" s="51">
        <v>1.95</v>
      </c>
      <c r="H36" s="52" cm="1">
        <f t="array" ref="H36">F36/1.09</f>
        <v>1.72477064220183</v>
      </c>
      <c r="I36" s="52" cm="1">
        <f t="array" ref="I36">G36/1.09</f>
        <v>1.78899082568807</v>
      </c>
      <c r="J36" s="53">
        <v>1.78</v>
      </c>
      <c r="K36" s="53" cm="1">
        <f t="array" ref="K36">J36/1.19</f>
        <v>1.49579831932773</v>
      </c>
      <c r="L36" s="54" cm="1">
        <f t="array" ref="L36">J36/1.29</f>
        <v>1.37984496124031</v>
      </c>
    </row>
    <row r="37" ht="15" customHeight="1">
      <c r="A37" s="46"/>
      <c r="B37" s="49">
        <v>2149</v>
      </c>
      <c r="C37" t="s" s="48">
        <v>54</v>
      </c>
      <c r="D37" s="49">
        <v>24</v>
      </c>
      <c r="E37" s="50">
        <v>0.065</v>
      </c>
      <c r="F37" s="51">
        <v>1.53</v>
      </c>
      <c r="G37" s="51">
        <v>1.65</v>
      </c>
      <c r="H37" s="52" cm="1">
        <f t="array" ref="H37">F37/1.09</f>
        <v>1.40366972477064</v>
      </c>
      <c r="I37" s="52" cm="1">
        <f t="array" ref="I37">G37/1.09</f>
        <v>1.51376146788991</v>
      </c>
      <c r="J37" s="53">
        <v>1.36</v>
      </c>
      <c r="K37" s="53" cm="1">
        <f t="array" ref="K37">J37/1.19</f>
        <v>1.14285714285714</v>
      </c>
      <c r="L37" s="54" cm="1">
        <f t="array" ref="L37">J37/1.29</f>
        <v>1.05426356589147</v>
      </c>
    </row>
    <row r="38" ht="15" customHeight="1">
      <c r="A38" s="46"/>
      <c r="B38" s="49">
        <v>2150</v>
      </c>
      <c r="C38" t="s" s="48">
        <v>55</v>
      </c>
      <c r="D38" s="49">
        <v>12</v>
      </c>
      <c r="E38" s="65">
        <v>0.0975</v>
      </c>
      <c r="F38" s="51">
        <v>4.21</v>
      </c>
      <c r="G38" s="51">
        <v>4.58</v>
      </c>
      <c r="H38" s="52" cm="1">
        <f t="array" ref="H38">F38/1.09</f>
        <v>3.86238532110092</v>
      </c>
      <c r="I38" s="52" cm="1">
        <f t="array" ref="I38">G38/1.09</f>
        <v>4.20183486238532</v>
      </c>
      <c r="J38" s="53">
        <v>3.76</v>
      </c>
      <c r="K38" s="53" cm="1">
        <f t="array" ref="K38">J38/1.19</f>
        <v>3.15966386554622</v>
      </c>
      <c r="L38" s="54" cm="1">
        <f t="array" ref="L38">J38/1.29</f>
        <v>2.91472868217054</v>
      </c>
    </row>
    <row r="39" ht="15" customHeight="1">
      <c r="A39" s="46"/>
      <c r="B39" s="49">
        <v>2151</v>
      </c>
      <c r="C39" t="s" s="48">
        <v>56</v>
      </c>
      <c r="D39" s="49">
        <v>12</v>
      </c>
      <c r="E39" s="65">
        <v>0.065</v>
      </c>
      <c r="F39" s="51">
        <v>14.71</v>
      </c>
      <c r="G39" s="51">
        <v>15.3</v>
      </c>
      <c r="H39" s="52" cm="1">
        <f t="array" ref="H39">F39/1.09</f>
        <v>13.4954128440367</v>
      </c>
      <c r="I39" s="52" cm="1">
        <f t="array" ref="I39">G39/1.09</f>
        <v>14.0366972477064</v>
      </c>
      <c r="J39" s="53">
        <v>14.01</v>
      </c>
      <c r="K39" s="53" cm="1">
        <f t="array" ref="K39">J39/1.19</f>
        <v>11.7731092436975</v>
      </c>
      <c r="L39" s="54" cm="1">
        <f t="array" ref="L39">J39/1.29</f>
        <v>10.8604651162791</v>
      </c>
    </row>
    <row r="40" ht="15" customHeight="1">
      <c r="A40" s="46"/>
      <c r="B40" s="49">
        <v>2152</v>
      </c>
      <c r="C40" t="s" s="48">
        <v>57</v>
      </c>
      <c r="D40" s="49">
        <v>12</v>
      </c>
      <c r="E40" s="65">
        <v>0.065</v>
      </c>
      <c r="F40" s="51">
        <v>21.34</v>
      </c>
      <c r="G40" s="51">
        <v>22.09</v>
      </c>
      <c r="H40" s="52" cm="1">
        <f t="array" ref="H40">F40/1.09</f>
        <v>19.5779816513761</v>
      </c>
      <c r="I40" s="52" cm="1">
        <f t="array" ref="I40">G40/1.09</f>
        <v>20.2660550458716</v>
      </c>
      <c r="J40" s="53">
        <v>20.4</v>
      </c>
      <c r="K40" s="53" cm="1">
        <f t="array" ref="K40">J40/1.19</f>
        <v>17.1428571428571</v>
      </c>
      <c r="L40" s="54" cm="1">
        <f t="array" ref="L40">J40/1.29</f>
        <v>15.8139534883721</v>
      </c>
    </row>
    <row r="41" ht="15" customHeight="1">
      <c r="A41" s="46"/>
      <c r="B41" s="49">
        <v>2513</v>
      </c>
      <c r="C41" t="s" s="48">
        <v>58</v>
      </c>
      <c r="D41" s="49">
        <v>12</v>
      </c>
      <c r="E41" s="50">
        <v>0.065</v>
      </c>
      <c r="F41" s="51">
        <v>7.53</v>
      </c>
      <c r="G41" s="51">
        <v>7.91</v>
      </c>
      <c r="H41" s="52" cm="1">
        <f t="array" ref="H41">F41/1.09</f>
        <v>6.90825688073394</v>
      </c>
      <c r="I41" s="52" cm="1">
        <f t="array" ref="I41">G41/1.09</f>
        <v>7.25688073394495</v>
      </c>
      <c r="J41" s="53">
        <v>7.04</v>
      </c>
      <c r="K41" s="53" cm="1">
        <f t="array" ref="K41">J41/1.19</f>
        <v>5.91596638655462</v>
      </c>
      <c r="L41" s="54" cm="1">
        <f t="array" ref="L41">J41/1.29</f>
        <v>5.45736434108527</v>
      </c>
    </row>
    <row r="42" ht="15" customHeight="1">
      <c r="A42" s="46"/>
      <c r="B42" s="49">
        <v>2601</v>
      </c>
      <c r="C42" t="s" s="48">
        <v>59</v>
      </c>
      <c r="D42" s="49">
        <v>12</v>
      </c>
      <c r="E42" s="65">
        <v>0.0975</v>
      </c>
      <c r="F42" s="51">
        <v>3.64</v>
      </c>
      <c r="G42" s="51">
        <v>3.71</v>
      </c>
      <c r="H42" s="52" cm="1">
        <f t="array" ref="H42">F42/1.09</f>
        <v>3.3394495412844</v>
      </c>
      <c r="I42" s="52" cm="1">
        <f t="array" ref="I42">G42/1.09</f>
        <v>3.40366972477064</v>
      </c>
      <c r="J42" s="53">
        <v>3.55</v>
      </c>
      <c r="K42" s="53" cm="1">
        <f t="array" ref="K42">J42/1.19</f>
        <v>2.98319327731092</v>
      </c>
      <c r="L42" s="54" cm="1">
        <f t="array" ref="L42">J42/1.29</f>
        <v>2.75193798449612</v>
      </c>
    </row>
    <row r="43" ht="15" customHeight="1">
      <c r="A43" s="46"/>
      <c r="B43" s="49">
        <v>2602</v>
      </c>
      <c r="C43" t="s" s="48">
        <v>60</v>
      </c>
      <c r="D43" s="49">
        <v>12</v>
      </c>
      <c r="E43" s="65">
        <v>0.0975</v>
      </c>
      <c r="F43" s="51">
        <v>5.93</v>
      </c>
      <c r="G43" s="51">
        <v>6.18</v>
      </c>
      <c r="H43" s="52" cm="1">
        <f t="array" ref="H43">F43/1.09</f>
        <v>5.44036697247706</v>
      </c>
      <c r="I43" s="52" cm="1">
        <f t="array" ref="I43">G43/1.09</f>
        <v>5.6697247706422</v>
      </c>
      <c r="J43" s="53">
        <v>5.61</v>
      </c>
      <c r="K43" s="53" cm="1">
        <f t="array" ref="K43">J43/1.19</f>
        <v>4.71428571428571</v>
      </c>
      <c r="L43" s="54" cm="1">
        <f t="array" ref="L43">J43/1.29</f>
        <v>4.34883720930233</v>
      </c>
    </row>
    <row r="44" ht="15" customHeight="1">
      <c r="A44" s="46"/>
      <c r="B44" s="49">
        <v>2701</v>
      </c>
      <c r="C44" t="s" s="48">
        <v>61</v>
      </c>
      <c r="D44" s="49">
        <v>12</v>
      </c>
      <c r="E44" s="65">
        <v>0.0975</v>
      </c>
      <c r="F44" s="51">
        <v>2.75</v>
      </c>
      <c r="G44" s="51">
        <v>2.83</v>
      </c>
      <c r="H44" s="52" cm="1">
        <f t="array" ref="H44">F44/1.09</f>
        <v>2.52293577981651</v>
      </c>
      <c r="I44" s="52" cm="1">
        <f t="array" ref="I44">G44/1.09</f>
        <v>2.59633027522936</v>
      </c>
      <c r="J44" s="53">
        <v>2.68</v>
      </c>
      <c r="K44" s="53" cm="1">
        <f t="array" ref="K44">J44/1.19</f>
        <v>2.25210084033613</v>
      </c>
      <c r="L44" s="54" cm="1">
        <f t="array" ref="L44">J44/1.29</f>
        <v>2.07751937984496</v>
      </c>
    </row>
    <row r="45" ht="15" customHeight="1">
      <c r="A45" s="46"/>
      <c r="B45" s="49">
        <v>2702</v>
      </c>
      <c r="C45" t="s" s="48">
        <v>62</v>
      </c>
      <c r="D45" s="49">
        <v>12</v>
      </c>
      <c r="E45" s="65">
        <v>0.0975</v>
      </c>
      <c r="F45" s="51">
        <v>4.46</v>
      </c>
      <c r="G45" s="51">
        <v>4.68</v>
      </c>
      <c r="H45" s="52" cm="1">
        <f t="array" ref="H45">F45/1.09</f>
        <v>4.09174311926606</v>
      </c>
      <c r="I45" s="52" cm="1">
        <f t="array" ref="I45">G45/1.09</f>
        <v>4.29357798165138</v>
      </c>
      <c r="J45" s="53">
        <v>4.21</v>
      </c>
      <c r="K45" s="53" cm="1">
        <f t="array" ref="K45">J45/1.19</f>
        <v>3.53781512605042</v>
      </c>
      <c r="L45" s="54" cm="1">
        <f t="array" ref="L45">J45/1.29</f>
        <v>3.26356589147287</v>
      </c>
    </row>
    <row r="46" ht="15" customHeight="1">
      <c r="A46" s="46"/>
      <c r="B46" s="49">
        <v>2703</v>
      </c>
      <c r="C46" t="s" s="48">
        <v>63</v>
      </c>
      <c r="D46" s="49">
        <v>12</v>
      </c>
      <c r="E46" s="65">
        <v>0.0975</v>
      </c>
      <c r="F46" s="51">
        <v>7.66</v>
      </c>
      <c r="G46" s="51">
        <v>8.039999999999999</v>
      </c>
      <c r="H46" s="52" cm="1">
        <f t="array" ref="H46">F46/1.09</f>
        <v>7.02752293577982</v>
      </c>
      <c r="I46" s="52" cm="1">
        <f t="array" ref="I46">G46/1.09</f>
        <v>7.37614678899083</v>
      </c>
      <c r="J46" s="53">
        <v>7.19</v>
      </c>
      <c r="K46" s="53" cm="1">
        <f t="array" ref="K46">J46/1.19</f>
        <v>6.04201680672269</v>
      </c>
      <c r="L46" s="54" cm="1">
        <f t="array" ref="L46">J46/1.29</f>
        <v>5.57364341085271</v>
      </c>
    </row>
    <row r="47" ht="15" customHeight="1">
      <c r="A47" s="46"/>
      <c r="B47" s="49">
        <v>2750</v>
      </c>
      <c r="C47" t="s" s="48">
        <v>64</v>
      </c>
      <c r="D47" s="49">
        <v>8</v>
      </c>
      <c r="E47" s="50">
        <v>0.065</v>
      </c>
      <c r="F47" s="51">
        <v>25.23</v>
      </c>
      <c r="G47" s="51">
        <v>27.65</v>
      </c>
      <c r="H47" s="52" cm="1">
        <f t="array" ref="H47">F47/1.09</f>
        <v>23.1467889908257</v>
      </c>
      <c r="I47" s="52" cm="1">
        <f t="array" ref="I47">G47/1.09</f>
        <v>25.3669724770642</v>
      </c>
      <c r="J47" s="53">
        <v>22.21</v>
      </c>
      <c r="K47" s="53" cm="1">
        <f t="array" ref="K47">J47/1.19</f>
        <v>18.6638655462185</v>
      </c>
      <c r="L47" s="54" cm="1">
        <f t="array" ref="L47">J47/1.29</f>
        <v>17.2170542635659</v>
      </c>
    </row>
    <row r="48" ht="15" customHeight="1">
      <c r="A48" s="46"/>
      <c r="B48" s="49">
        <v>2751</v>
      </c>
      <c r="C48" t="s" s="48">
        <v>65</v>
      </c>
      <c r="D48" s="49">
        <v>12</v>
      </c>
      <c r="E48" s="65">
        <v>0.0975</v>
      </c>
      <c r="F48" s="51">
        <v>3.06</v>
      </c>
      <c r="G48" s="51">
        <v>3.11</v>
      </c>
      <c r="H48" s="52" cm="1">
        <f t="array" ref="H48">F48/1.09</f>
        <v>2.80733944954128</v>
      </c>
      <c r="I48" s="52" cm="1">
        <f t="array" ref="I48">G48/1.09</f>
        <v>2.85321100917431</v>
      </c>
      <c r="J48" s="53">
        <v>3.01</v>
      </c>
      <c r="K48" s="53" cm="1">
        <f t="array" ref="K48">J48/1.19</f>
        <v>2.52941176470588</v>
      </c>
      <c r="L48" s="54" cm="1">
        <f t="array" ref="L48">J48/1.29</f>
        <v>2.33333333333333</v>
      </c>
    </row>
    <row r="49" ht="15" customHeight="1">
      <c r="A49" s="46"/>
      <c r="B49" s="49">
        <v>2752</v>
      </c>
      <c r="C49" t="s" s="48">
        <v>66</v>
      </c>
      <c r="D49" s="49">
        <v>24</v>
      </c>
      <c r="E49" s="50">
        <v>0.065</v>
      </c>
      <c r="F49" s="51">
        <v>3.23</v>
      </c>
      <c r="G49" s="51">
        <v>3.31</v>
      </c>
      <c r="H49" s="52" cm="1">
        <f t="array" ref="H49">F49/1.09</f>
        <v>2.96330275229358</v>
      </c>
      <c r="I49" s="52" cm="1">
        <f t="array" ref="I49">G49/1.09</f>
        <v>3.03669724770642</v>
      </c>
      <c r="J49" s="53">
        <v>3.11</v>
      </c>
      <c r="K49" s="53" cm="1">
        <f t="array" ref="K49">J49/1.19</f>
        <v>2.61344537815126</v>
      </c>
      <c r="L49" s="54" cm="1">
        <f t="array" ref="L49">J49/1.29</f>
        <v>2.41085271317829</v>
      </c>
    </row>
    <row r="50" ht="15" customHeight="1">
      <c r="A50" s="46"/>
      <c r="B50" s="49">
        <v>2753</v>
      </c>
      <c r="C50" t="s" s="48">
        <v>67</v>
      </c>
      <c r="D50" s="49">
        <v>12</v>
      </c>
      <c r="E50" s="50">
        <v>0.065</v>
      </c>
      <c r="F50" s="51">
        <v>15.99</v>
      </c>
      <c r="G50" s="51">
        <v>16.78</v>
      </c>
      <c r="H50" s="52" cm="1">
        <f t="array" ref="H50">F50/1.09</f>
        <v>14.6697247706422</v>
      </c>
      <c r="I50" s="52" cm="1">
        <f t="array" ref="I50">G50/1.09</f>
        <v>15.394495412844</v>
      </c>
      <c r="J50" s="53">
        <v>15</v>
      </c>
      <c r="K50" s="53" cm="1">
        <f t="array" ref="K50">J50/1.19</f>
        <v>12.6050420168067</v>
      </c>
      <c r="L50" s="54" cm="1">
        <f t="array" ref="L50">J50/1.29</f>
        <v>11.6279069767442</v>
      </c>
    </row>
    <row r="51" ht="15" customHeight="1">
      <c r="A51" s="46"/>
      <c r="B51" s="49">
        <v>2754</v>
      </c>
      <c r="C51" t="s" s="48">
        <v>68</v>
      </c>
      <c r="D51" s="49">
        <v>36</v>
      </c>
      <c r="E51" s="65">
        <v>0.0975</v>
      </c>
      <c r="F51" s="51">
        <v>2.04</v>
      </c>
      <c r="G51" s="51">
        <v>2.06</v>
      </c>
      <c r="H51" s="52" cm="1">
        <f t="array" ref="H51">F51/1.09</f>
        <v>1.87155963302752</v>
      </c>
      <c r="I51" s="52" cm="1">
        <f t="array" ref="I51">G51/1.09</f>
        <v>1.88990825688073</v>
      </c>
      <c r="J51" s="53">
        <v>2.03</v>
      </c>
      <c r="K51" s="53" cm="1">
        <f t="array" ref="K51">J51/1.19</f>
        <v>1.70588235294118</v>
      </c>
      <c r="L51" s="54" cm="1">
        <f t="array" ref="L51">J51/1.29</f>
        <v>1.57364341085271</v>
      </c>
    </row>
    <row r="52" ht="15" customHeight="1">
      <c r="A52" s="46"/>
      <c r="B52" s="49">
        <v>2755</v>
      </c>
      <c r="C52" t="s" s="48">
        <v>69</v>
      </c>
      <c r="D52" s="49">
        <v>12</v>
      </c>
      <c r="E52" s="65">
        <v>0.0975</v>
      </c>
      <c r="F52" s="51">
        <v>6.69</v>
      </c>
      <c r="G52" s="51">
        <v>6.96</v>
      </c>
      <c r="H52" s="52" cm="1">
        <f t="array" ref="H52">F52/1.09</f>
        <v>6.13761467889908</v>
      </c>
      <c r="I52" s="52" cm="1">
        <f t="array" ref="I52">G52/1.09</f>
        <v>6.38532110091743</v>
      </c>
      <c r="J52" s="53">
        <v>6.34</v>
      </c>
      <c r="K52" s="53" cm="1">
        <f t="array" ref="K52">J52/1.19</f>
        <v>5.32773109243697</v>
      </c>
      <c r="L52" s="54" cm="1">
        <f t="array" ref="L52">J52/1.29</f>
        <v>4.91472868217054</v>
      </c>
    </row>
    <row r="53" ht="15.75" customHeight="1">
      <c r="A53" s="55"/>
      <c r="B53" s="56">
        <v>2802</v>
      </c>
      <c r="C53" t="s" s="57">
        <v>70</v>
      </c>
      <c r="D53" s="56">
        <v>6</v>
      </c>
      <c r="E53" s="66">
        <v>0.0975</v>
      </c>
      <c r="F53" s="59">
        <v>64.04000000000001</v>
      </c>
      <c r="G53" s="59">
        <v>67.40000000000001</v>
      </c>
      <c r="H53" s="60" cm="1">
        <f t="array" ref="H53">F53/1.09</f>
        <v>58.7522935779817</v>
      </c>
      <c r="I53" s="60" cm="1">
        <f t="array" ref="I53">G53/1.09</f>
        <v>61.8348623853211</v>
      </c>
      <c r="J53" s="61">
        <v>59.84</v>
      </c>
      <c r="K53" s="61" cm="1">
        <f t="array" ref="K53">J53/1.19</f>
        <v>50.2857142857143</v>
      </c>
      <c r="L53" s="62" cm="1">
        <f t="array" ref="L53">J53/1.29</f>
        <v>46.3875968992248</v>
      </c>
    </row>
    <row r="54" ht="15" customHeight="1">
      <c r="A54" t="s" s="67">
        <v>71</v>
      </c>
      <c r="B54" s="40">
        <v>3901</v>
      </c>
      <c r="C54" t="s" s="39">
        <v>72</v>
      </c>
      <c r="D54" s="40">
        <v>12</v>
      </c>
      <c r="E54" s="41">
        <v>0.065</v>
      </c>
      <c r="F54" s="42">
        <v>23.94</v>
      </c>
      <c r="G54" s="42">
        <v>26.31</v>
      </c>
      <c r="H54" s="43" cm="1">
        <f t="array" ref="H54">F54/1.09</f>
        <v>21.9633027522936</v>
      </c>
      <c r="I54" s="43" cm="1">
        <f t="array" ref="I54">G54/1.09</f>
        <v>24.1376146788991</v>
      </c>
      <c r="J54" s="44">
        <v>20.98</v>
      </c>
      <c r="K54" s="44" cm="1">
        <f t="array" ref="K54">J54/1.19</f>
        <v>17.6302521008403</v>
      </c>
      <c r="L54" s="45" cm="1">
        <f t="array" ref="L54">J54/1.29</f>
        <v>16.2635658914729</v>
      </c>
    </row>
    <row r="55" ht="15" customHeight="1">
      <c r="A55" s="68"/>
      <c r="B55" s="49">
        <v>3905</v>
      </c>
      <c r="C55" t="s" s="48">
        <v>73</v>
      </c>
      <c r="D55" s="49">
        <v>24</v>
      </c>
      <c r="E55" s="50">
        <v>0.065</v>
      </c>
      <c r="F55" s="51">
        <v>4.83</v>
      </c>
      <c r="G55" s="51">
        <v>5.21</v>
      </c>
      <c r="H55" s="52" cm="1">
        <f t="array" ref="H55">F55/1.09</f>
        <v>4.43119266055046</v>
      </c>
      <c r="I55" s="52" cm="1">
        <f t="array" ref="I55">G55/1.09</f>
        <v>4.77981651376147</v>
      </c>
      <c r="J55" s="53">
        <v>4.33</v>
      </c>
      <c r="K55" s="53" cm="1">
        <f t="array" ref="K55">J55/1.19</f>
        <v>3.63865546218487</v>
      </c>
      <c r="L55" s="54" cm="1">
        <f t="array" ref="L55">J55/1.29</f>
        <v>3.35658914728682</v>
      </c>
    </row>
    <row r="56" ht="15" customHeight="1">
      <c r="A56" s="68"/>
      <c r="B56" s="49">
        <v>3907</v>
      </c>
      <c r="C56" t="s" s="48">
        <v>74</v>
      </c>
      <c r="D56" s="49">
        <v>12</v>
      </c>
      <c r="E56" s="50">
        <v>0.065</v>
      </c>
      <c r="F56" s="51">
        <v>20.06</v>
      </c>
      <c r="G56" s="51">
        <v>22.43</v>
      </c>
      <c r="H56" s="52" cm="1">
        <f t="array" ref="H56">F56/1.09</f>
        <v>18.4036697247706</v>
      </c>
      <c r="I56" s="52" cm="1">
        <f t="array" ref="I56">G56/1.09</f>
        <v>20.5779816513761</v>
      </c>
      <c r="J56" s="53">
        <v>17.13</v>
      </c>
      <c r="K56" s="53" cm="1">
        <f t="array" ref="K56">J56/1.19</f>
        <v>14.3949579831933</v>
      </c>
      <c r="L56" s="54" cm="1">
        <f t="array" ref="L56">J56/1.29</f>
        <v>13.2790697674419</v>
      </c>
    </row>
    <row r="57" ht="15" customHeight="1">
      <c r="A57" s="68"/>
      <c r="B57" s="49">
        <v>3952</v>
      </c>
      <c r="C57" t="s" s="48">
        <v>75</v>
      </c>
      <c r="D57" s="49">
        <v>6</v>
      </c>
      <c r="E57" s="50">
        <v>0.065</v>
      </c>
      <c r="F57" s="51">
        <v>59.11</v>
      </c>
      <c r="G57" s="51">
        <v>64.5</v>
      </c>
      <c r="H57" s="52" cm="1">
        <f t="array" ref="H57">F57/1.09</f>
        <v>54.2293577981651</v>
      </c>
      <c r="I57" s="52" cm="1">
        <f t="array" ref="I57">G57/1.09</f>
        <v>59.1743119266055</v>
      </c>
      <c r="J57" s="53">
        <v>52.39</v>
      </c>
      <c r="K57" s="53" cm="1">
        <f t="array" ref="K57">J57/1.19</f>
        <v>44.0252100840336</v>
      </c>
      <c r="L57" s="54" cm="1">
        <f t="array" ref="L57">J57/1.29</f>
        <v>40.6124031007752</v>
      </c>
    </row>
    <row r="58" ht="15" customHeight="1">
      <c r="A58" s="68"/>
      <c r="B58" s="49">
        <v>3953</v>
      </c>
      <c r="C58" t="s" s="48">
        <v>76</v>
      </c>
      <c r="D58" s="49">
        <v>6</v>
      </c>
      <c r="E58" s="50">
        <v>0.065</v>
      </c>
      <c r="F58" s="51">
        <v>65.09999999999999</v>
      </c>
      <c r="G58" s="51">
        <v>70.48999999999999</v>
      </c>
      <c r="H58" s="52" cm="1">
        <f t="array" ref="H58">F58/1.09</f>
        <v>59.7247706422018</v>
      </c>
      <c r="I58" s="52" cm="1">
        <f t="array" ref="I58">G58/1.09</f>
        <v>64.6697247706422</v>
      </c>
      <c r="J58" s="53">
        <v>58.38</v>
      </c>
      <c r="K58" s="53" cm="1">
        <f t="array" ref="K58">J58/1.19</f>
        <v>49.0588235294118</v>
      </c>
      <c r="L58" s="54" cm="1">
        <f t="array" ref="L58">J58/1.29</f>
        <v>45.2558139534884</v>
      </c>
    </row>
    <row r="59" ht="15" customHeight="1">
      <c r="A59" s="68"/>
      <c r="B59" s="49">
        <v>3954</v>
      </c>
      <c r="C59" t="s" s="48">
        <v>77</v>
      </c>
      <c r="D59" s="49">
        <v>12</v>
      </c>
      <c r="E59" s="50">
        <v>0.065</v>
      </c>
      <c r="F59" s="51">
        <v>5.58</v>
      </c>
      <c r="G59" s="51">
        <v>6.09</v>
      </c>
      <c r="H59" s="52" cm="1">
        <f t="array" ref="H59">F59/1.09</f>
        <v>5.11926605504587</v>
      </c>
      <c r="I59" s="52" cm="1">
        <f t="array" ref="I59">G59/1.09</f>
        <v>5.58715596330275</v>
      </c>
      <c r="J59" s="53">
        <v>4.91</v>
      </c>
      <c r="K59" s="53" cm="1">
        <f t="array" ref="K59">J59/1.19</f>
        <v>4.12605042016807</v>
      </c>
      <c r="L59" s="54" cm="1">
        <f t="array" ref="L59">J59/1.29</f>
        <v>3.8062015503876</v>
      </c>
    </row>
    <row r="60" ht="15" customHeight="1">
      <c r="A60" s="68"/>
      <c r="B60" s="49">
        <v>3955</v>
      </c>
      <c r="C60" t="s" s="48">
        <v>78</v>
      </c>
      <c r="D60" s="49">
        <v>12</v>
      </c>
      <c r="E60" s="50">
        <v>0.065</v>
      </c>
      <c r="F60" s="51">
        <v>11.01</v>
      </c>
      <c r="G60" s="51">
        <v>12.05</v>
      </c>
      <c r="H60" s="52" cm="1">
        <f t="array" ref="H60">F60/1.09</f>
        <v>10.1009174311927</v>
      </c>
      <c r="I60" s="52" cm="1">
        <f t="array" ref="I60">G60/1.09</f>
        <v>11.0550458715596</v>
      </c>
      <c r="J60" s="53">
        <v>9.699999999999999</v>
      </c>
      <c r="K60" s="53" cm="1">
        <f t="array" ref="K60">J60/1.19</f>
        <v>8.15126050420168</v>
      </c>
      <c r="L60" s="54" cm="1">
        <f t="array" ref="L60">J60/1.29</f>
        <v>7.51937984496124</v>
      </c>
    </row>
    <row r="61" ht="15" customHeight="1">
      <c r="A61" s="68"/>
      <c r="B61" s="49">
        <v>3956</v>
      </c>
      <c r="C61" t="s" s="48">
        <v>79</v>
      </c>
      <c r="D61" s="49">
        <v>12</v>
      </c>
      <c r="E61" s="50">
        <v>0.065</v>
      </c>
      <c r="F61" s="51">
        <v>11.34</v>
      </c>
      <c r="G61" s="51">
        <v>12.39</v>
      </c>
      <c r="H61" s="52" cm="1">
        <f t="array" ref="H61">F61/1.09</f>
        <v>10.4036697247706</v>
      </c>
      <c r="I61" s="52" cm="1">
        <f t="array" ref="I61">G61/1.09</f>
        <v>11.3669724770642</v>
      </c>
      <c r="J61" s="53">
        <v>10.04</v>
      </c>
      <c r="K61" s="53" cm="1">
        <f t="array" ref="K61">J61/1.19</f>
        <v>8.43697478991597</v>
      </c>
      <c r="L61" s="54" cm="1">
        <f t="array" ref="L61">J61/1.29</f>
        <v>7.78294573643411</v>
      </c>
    </row>
    <row r="62" ht="15" customHeight="1">
      <c r="A62" s="68"/>
      <c r="B62" s="49">
        <v>3957</v>
      </c>
      <c r="C62" t="s" s="48">
        <v>80</v>
      </c>
      <c r="D62" s="49">
        <v>9</v>
      </c>
      <c r="E62" s="50">
        <v>0.065</v>
      </c>
      <c r="F62" s="51">
        <v>13.9</v>
      </c>
      <c r="G62" s="51">
        <v>15.08</v>
      </c>
      <c r="H62" s="52" cm="1">
        <f t="array" ref="H62">F62/1.09</f>
        <v>12.7522935779817</v>
      </c>
      <c r="I62" s="52" cm="1">
        <f t="array" ref="I62">G62/1.09</f>
        <v>13.8348623853211</v>
      </c>
      <c r="J62" s="53">
        <v>12.43</v>
      </c>
      <c r="K62" s="53" cm="1">
        <f t="array" ref="K62">J62/1.19</f>
        <v>10.4453781512605</v>
      </c>
      <c r="L62" s="54" cm="1">
        <f t="array" ref="L62">J62/1.29</f>
        <v>9.63565891472868</v>
      </c>
    </row>
    <row r="63" ht="15" customHeight="1">
      <c r="A63" s="68"/>
      <c r="B63" s="49">
        <v>3958</v>
      </c>
      <c r="C63" t="s" s="48">
        <v>81</v>
      </c>
      <c r="D63" s="49">
        <v>12</v>
      </c>
      <c r="E63" s="50">
        <v>0.065</v>
      </c>
      <c r="F63" s="51">
        <v>36.89</v>
      </c>
      <c r="G63" s="51">
        <v>40.65</v>
      </c>
      <c r="H63" s="52" cm="1">
        <f t="array" ref="H63">F63/1.09</f>
        <v>33.8440366972477</v>
      </c>
      <c r="I63" s="52" cm="1">
        <f t="array" ref="I63">G63/1.09</f>
        <v>37.2935779816514</v>
      </c>
      <c r="J63" s="53">
        <v>32.2</v>
      </c>
      <c r="K63" s="53" cm="1">
        <f t="array" ref="K63">J63/1.19</f>
        <v>27.0588235294118</v>
      </c>
      <c r="L63" s="54" cm="1">
        <f t="array" ref="L63">J63/1.29</f>
        <v>24.9612403100775</v>
      </c>
    </row>
    <row r="64" ht="15" customHeight="1">
      <c r="A64" s="68"/>
      <c r="B64" s="49">
        <v>3959</v>
      </c>
      <c r="C64" t="s" s="48">
        <v>82</v>
      </c>
      <c r="D64" s="49">
        <v>12</v>
      </c>
      <c r="E64" s="50">
        <v>0.065</v>
      </c>
      <c r="F64" s="51">
        <v>47.53</v>
      </c>
      <c r="G64" s="51">
        <v>51.29</v>
      </c>
      <c r="H64" s="52" cm="1">
        <f t="array" ref="H64">F64/1.09</f>
        <v>43.605504587156</v>
      </c>
      <c r="I64" s="52" cm="1">
        <f t="array" ref="I64">G64/1.09</f>
        <v>47.0550458715596</v>
      </c>
      <c r="J64" s="53">
        <v>42.84</v>
      </c>
      <c r="K64" s="53" cm="1">
        <f t="array" ref="K64">J64/1.19</f>
        <v>36</v>
      </c>
      <c r="L64" s="54" cm="1">
        <f t="array" ref="L64">J64/1.29</f>
        <v>33.2093023255814</v>
      </c>
    </row>
    <row r="65" ht="15.75" customHeight="1">
      <c r="A65" s="69"/>
      <c r="B65" s="56">
        <v>3960</v>
      </c>
      <c r="C65" t="s" s="57">
        <v>83</v>
      </c>
      <c r="D65" s="56">
        <v>12</v>
      </c>
      <c r="E65" s="58">
        <v>0.065</v>
      </c>
      <c r="F65" s="59">
        <v>47.83</v>
      </c>
      <c r="G65" s="59">
        <v>51.58</v>
      </c>
      <c r="H65" s="60" cm="1">
        <f t="array" ref="H65">F65/1.09</f>
        <v>43.8807339449541</v>
      </c>
      <c r="I65" s="60" cm="1">
        <f t="array" ref="I65">G65/1.09</f>
        <v>47.3211009174312</v>
      </c>
      <c r="J65" s="61">
        <v>43.14</v>
      </c>
      <c r="K65" s="61" cm="1">
        <f t="array" ref="K65">J65/1.19</f>
        <v>36.2521008403361</v>
      </c>
      <c r="L65" s="62" cm="1">
        <f t="array" ref="L65">J65/1.29</f>
        <v>33.4418604651163</v>
      </c>
    </row>
    <row r="66" ht="15" customHeight="1">
      <c r="A66" t="s" s="37">
        <v>84</v>
      </c>
      <c r="B66" s="40">
        <v>4000</v>
      </c>
      <c r="C66" t="s" s="39">
        <v>85</v>
      </c>
      <c r="D66" s="40">
        <v>12</v>
      </c>
      <c r="E66" s="41">
        <v>0.065</v>
      </c>
      <c r="F66" s="42">
        <v>11.94</v>
      </c>
      <c r="G66" s="42">
        <v>15.38</v>
      </c>
      <c r="H66" s="43" cm="1">
        <f t="array" ref="H66">F66/1.09</f>
        <v>10.954128440367</v>
      </c>
      <c r="I66" s="43" cm="1">
        <f t="array" ref="I66">G66/1.09</f>
        <v>14.1100917431193</v>
      </c>
      <c r="J66" s="44">
        <v>7.64</v>
      </c>
      <c r="K66" s="44" cm="1">
        <f t="array" ref="K66">J66/1.19</f>
        <v>6.42016806722689</v>
      </c>
      <c r="L66" s="45" cm="1">
        <f t="array" ref="L66">J66/1.29</f>
        <v>5.92248062015504</v>
      </c>
    </row>
    <row r="67" ht="15" customHeight="1">
      <c r="A67" s="46"/>
      <c r="B67" s="49">
        <v>4001</v>
      </c>
      <c r="C67" t="s" s="48">
        <v>86</v>
      </c>
      <c r="D67" s="49">
        <v>24</v>
      </c>
      <c r="E67" s="50">
        <v>0.065</v>
      </c>
      <c r="F67" s="51">
        <v>6.55</v>
      </c>
      <c r="G67" s="51">
        <v>7.71</v>
      </c>
      <c r="H67" s="52" cm="1">
        <f t="array" ref="H67">F67/1.09</f>
        <v>6.00917431192661</v>
      </c>
      <c r="I67" s="52" cm="1">
        <f t="array" ref="I67">G67/1.09</f>
        <v>7.07339449541284</v>
      </c>
      <c r="J67" s="53">
        <v>5.1</v>
      </c>
      <c r="K67" s="53" cm="1">
        <f t="array" ref="K67">J67/1.19</f>
        <v>4.28571428571429</v>
      </c>
      <c r="L67" s="54" cm="1">
        <f t="array" ref="L67">J67/1.29</f>
        <v>3.95348837209302</v>
      </c>
    </row>
    <row r="68" ht="15" customHeight="1">
      <c r="A68" s="46"/>
      <c r="B68" s="49">
        <v>4002</v>
      </c>
      <c r="C68" t="s" s="48">
        <v>87</v>
      </c>
      <c r="D68" s="49">
        <v>12</v>
      </c>
      <c r="E68" s="50">
        <v>0.065</v>
      </c>
      <c r="F68" s="51">
        <v>8.050000000000001</v>
      </c>
      <c r="G68" s="51">
        <v>9.109999999999999</v>
      </c>
      <c r="H68" s="52" cm="1">
        <f t="array" ref="H68">F68/1.09</f>
        <v>7.38532110091743</v>
      </c>
      <c r="I68" s="52" cm="1">
        <f t="array" ref="I68">G68/1.09</f>
        <v>8.357798165137609</v>
      </c>
      <c r="J68" s="53">
        <v>6.73</v>
      </c>
      <c r="K68" s="53" cm="1">
        <f t="array" ref="K68">J68/1.19</f>
        <v>5.65546218487395</v>
      </c>
      <c r="L68" s="54" cm="1">
        <f t="array" ref="L68">J68/1.29</f>
        <v>5.21705426356589</v>
      </c>
    </row>
    <row r="69" ht="15" customHeight="1">
      <c r="A69" s="46"/>
      <c r="B69" s="49">
        <v>4003</v>
      </c>
      <c r="C69" t="s" s="48">
        <v>88</v>
      </c>
      <c r="D69" s="49">
        <v>12</v>
      </c>
      <c r="E69" s="50">
        <v>0.065</v>
      </c>
      <c r="F69" s="51">
        <v>12.99</v>
      </c>
      <c r="G69" s="51">
        <v>15.16</v>
      </c>
      <c r="H69" s="52" cm="1">
        <f t="array" ref="H69">F69/1.09</f>
        <v>11.9174311926606</v>
      </c>
      <c r="I69" s="52" cm="1">
        <f t="array" ref="I69">G69/1.09</f>
        <v>13.9082568807339</v>
      </c>
      <c r="J69" s="53">
        <v>10.28</v>
      </c>
      <c r="K69" s="53" cm="1">
        <f t="array" ref="K69">J69/1.19</f>
        <v>8.63865546218487</v>
      </c>
      <c r="L69" s="54" cm="1">
        <f t="array" ref="L69">J69/1.29</f>
        <v>7.96899224806202</v>
      </c>
    </row>
    <row r="70" ht="15" customHeight="1">
      <c r="A70" s="46"/>
      <c r="B70" s="49">
        <v>4013</v>
      </c>
      <c r="C70" t="s" s="48">
        <v>89</v>
      </c>
      <c r="D70" s="49">
        <v>24</v>
      </c>
      <c r="E70" s="50">
        <v>0.065</v>
      </c>
      <c r="F70" s="51">
        <v>6.21</v>
      </c>
      <c r="G70" s="51">
        <v>6.65</v>
      </c>
      <c r="H70" s="52" cm="1">
        <f t="array" ref="H70">F70/1.09</f>
        <v>5.69724770642202</v>
      </c>
      <c r="I70" s="52" cm="1">
        <f t="array" ref="I70">G70/1.09</f>
        <v>6.10091743119266</v>
      </c>
      <c r="J70" s="53">
        <v>5.66</v>
      </c>
      <c r="K70" s="53" cm="1">
        <f t="array" ref="K70">J70/1.19</f>
        <v>4.7563025210084</v>
      </c>
      <c r="L70" s="54" cm="1">
        <f t="array" ref="L70">J70/1.29</f>
        <v>4.38759689922481</v>
      </c>
    </row>
    <row r="71" ht="15" customHeight="1">
      <c r="A71" s="46"/>
      <c r="B71" s="49">
        <v>4016</v>
      </c>
      <c r="C71" t="s" s="48">
        <v>90</v>
      </c>
      <c r="D71" s="49">
        <v>12</v>
      </c>
      <c r="E71" s="50">
        <v>0.065</v>
      </c>
      <c r="F71" s="51">
        <v>14.13</v>
      </c>
      <c r="G71" s="51">
        <v>15.21</v>
      </c>
      <c r="H71" s="52" cm="1">
        <f t="array" ref="H71">F71/1.09</f>
        <v>12.9633027522936</v>
      </c>
      <c r="I71" s="52" cm="1">
        <f t="array" ref="I71">G71/1.09</f>
        <v>13.954128440367</v>
      </c>
      <c r="J71" s="53">
        <v>12.78</v>
      </c>
      <c r="K71" s="53" cm="1">
        <f t="array" ref="K71">J71/1.19</f>
        <v>10.7394957983193</v>
      </c>
      <c r="L71" s="54" cm="1">
        <f t="array" ref="L71">J71/1.29</f>
        <v>9.90697674418605</v>
      </c>
    </row>
    <row r="72" ht="15" customHeight="1">
      <c r="A72" s="46"/>
      <c r="B72" s="49">
        <v>4017</v>
      </c>
      <c r="C72" t="s" s="48">
        <v>91</v>
      </c>
      <c r="D72" s="49">
        <v>12</v>
      </c>
      <c r="E72" s="50">
        <v>0.065</v>
      </c>
      <c r="F72" s="51">
        <v>9.49</v>
      </c>
      <c r="G72" s="51">
        <v>10.39</v>
      </c>
      <c r="H72" s="52" cm="1">
        <f t="array" ref="H72">F72/1.09</f>
        <v>8.70642201834862</v>
      </c>
      <c r="I72" s="52" cm="1">
        <f t="array" ref="I72">G72/1.09</f>
        <v>9.532110091743119</v>
      </c>
      <c r="J72" s="53">
        <v>8.34</v>
      </c>
      <c r="K72" s="53" cm="1">
        <f t="array" ref="K72">J72/1.19</f>
        <v>7.00840336134454</v>
      </c>
      <c r="L72" s="54" cm="1">
        <f t="array" ref="L72">J72/1.29</f>
        <v>6.46511627906977</v>
      </c>
    </row>
    <row r="73" ht="15" customHeight="1">
      <c r="A73" s="46"/>
      <c r="B73" s="49">
        <v>4019</v>
      </c>
      <c r="C73" t="s" s="48">
        <v>92</v>
      </c>
      <c r="D73" s="49">
        <v>6</v>
      </c>
      <c r="E73" s="50">
        <v>0.065</v>
      </c>
      <c r="F73" s="51">
        <v>30.84</v>
      </c>
      <c r="G73" s="51">
        <v>33.04</v>
      </c>
      <c r="H73" s="52" cm="1">
        <f t="array" ref="H73">F73/1.09</f>
        <v>28.2935779816514</v>
      </c>
      <c r="I73" s="52" cm="1">
        <f t="array" ref="I73">G73/1.09</f>
        <v>30.3119266055046</v>
      </c>
      <c r="J73" s="53">
        <v>28.09</v>
      </c>
      <c r="K73" s="53" cm="1">
        <f t="array" ref="K73">J73/1.19</f>
        <v>23.6050420168067</v>
      </c>
      <c r="L73" s="54" cm="1">
        <f t="array" ref="L73">J73/1.29</f>
        <v>21.7751937984496</v>
      </c>
    </row>
    <row r="74" ht="15" customHeight="1">
      <c r="A74" s="46"/>
      <c r="B74" s="49">
        <v>4020</v>
      </c>
      <c r="C74" t="s" s="48">
        <v>93</v>
      </c>
      <c r="D74" s="49">
        <v>24</v>
      </c>
      <c r="E74" s="50">
        <v>0.065</v>
      </c>
      <c r="F74" s="51">
        <v>3.05</v>
      </c>
      <c r="G74" s="51">
        <v>3.36</v>
      </c>
      <c r="H74" s="52" cm="1">
        <f t="array" ref="H74">F74/1.09</f>
        <v>2.79816513761468</v>
      </c>
      <c r="I74" s="52" cm="1">
        <f t="array" ref="I74">G74/1.09</f>
        <v>3.08256880733945</v>
      </c>
      <c r="J74" s="53">
        <v>2.66</v>
      </c>
      <c r="K74" s="53" cm="1">
        <f t="array" ref="K74">J74/1.19</f>
        <v>2.23529411764706</v>
      </c>
      <c r="L74" s="54" cm="1">
        <f t="array" ref="L74">J74/1.29</f>
        <v>2.06201550387597</v>
      </c>
    </row>
    <row r="75" ht="15" customHeight="1">
      <c r="A75" s="46"/>
      <c r="B75" s="49">
        <v>4029</v>
      </c>
      <c r="C75" t="s" s="48">
        <v>94</v>
      </c>
      <c r="D75" s="49">
        <v>12</v>
      </c>
      <c r="E75" s="50">
        <v>0.065</v>
      </c>
      <c r="F75" s="51">
        <v>11.78</v>
      </c>
      <c r="G75" s="51">
        <v>12.48</v>
      </c>
      <c r="H75" s="52" cm="1">
        <f t="array" ref="H75">F75/1.09</f>
        <v>10.8073394495413</v>
      </c>
      <c r="I75" s="52" cm="1">
        <f t="array" ref="I75">G75/1.09</f>
        <v>11.4495412844037</v>
      </c>
      <c r="J75" s="53">
        <v>10.9</v>
      </c>
      <c r="K75" s="53" cm="1">
        <f t="array" ref="K75">J75/1.19</f>
        <v>9.15966386554622</v>
      </c>
      <c r="L75" s="54" cm="1">
        <f t="array" ref="L75">J75/1.29</f>
        <v>8.44961240310078</v>
      </c>
    </row>
    <row r="76" ht="15" customHeight="1">
      <c r="A76" s="46"/>
      <c r="B76" s="49">
        <v>4030</v>
      </c>
      <c r="C76" t="s" s="48">
        <v>95</v>
      </c>
      <c r="D76" s="49">
        <v>9</v>
      </c>
      <c r="E76" s="50">
        <v>0.065</v>
      </c>
      <c r="F76" s="51">
        <v>41.04</v>
      </c>
      <c r="G76" s="51">
        <v>45.94</v>
      </c>
      <c r="H76" s="52" cm="1">
        <f t="array" ref="H76">F76/1.09</f>
        <v>37.651376146789</v>
      </c>
      <c r="I76" s="52" cm="1">
        <f t="array" ref="I76">G76/1.09</f>
        <v>42.1467889908257</v>
      </c>
      <c r="J76" s="53">
        <v>34.9</v>
      </c>
      <c r="K76" s="53" cm="1">
        <f t="array" ref="K76">J76/1.19</f>
        <v>29.327731092437</v>
      </c>
      <c r="L76" s="54" cm="1">
        <f t="array" ref="L76">J76/1.29</f>
        <v>27.0542635658915</v>
      </c>
    </row>
    <row r="77" ht="15" customHeight="1">
      <c r="A77" s="46"/>
      <c r="B77" s="49">
        <v>4033</v>
      </c>
      <c r="C77" t="s" s="48">
        <v>96</v>
      </c>
      <c r="D77" s="49">
        <v>12</v>
      </c>
      <c r="E77" s="50">
        <v>0.065</v>
      </c>
      <c r="F77" s="51">
        <v>24.1</v>
      </c>
      <c r="G77" s="51">
        <v>28.15</v>
      </c>
      <c r="H77" s="52" cm="1">
        <f t="array" ref="H77">F77/1.09</f>
        <v>22.1100917431193</v>
      </c>
      <c r="I77" s="52" cm="1">
        <f t="array" ref="I77">G77/1.09</f>
        <v>25.8256880733945</v>
      </c>
      <c r="J77" s="53">
        <v>19.04</v>
      </c>
      <c r="K77" s="53" cm="1">
        <f t="array" ref="K77">J77/1.19</f>
        <v>16</v>
      </c>
      <c r="L77" s="54" cm="1">
        <f t="array" ref="L77">J77/1.29</f>
        <v>14.7596899224806</v>
      </c>
    </row>
    <row r="78" ht="15" customHeight="1">
      <c r="A78" s="46"/>
      <c r="B78" s="49">
        <v>4035</v>
      </c>
      <c r="C78" t="s" s="48">
        <v>97</v>
      </c>
      <c r="D78" s="49">
        <v>9</v>
      </c>
      <c r="E78" s="50">
        <v>0.065</v>
      </c>
      <c r="F78" s="51">
        <v>50.43</v>
      </c>
      <c r="G78" s="51">
        <v>55.53</v>
      </c>
      <c r="H78" s="52" cm="1">
        <f t="array" ref="H78">F78/1.09</f>
        <v>46.2660550458716</v>
      </c>
      <c r="I78" s="52" cm="1">
        <f t="array" ref="I78">G78/1.09</f>
        <v>50.9449541284404</v>
      </c>
      <c r="J78" s="53">
        <v>44.05</v>
      </c>
      <c r="K78" s="53" cm="1">
        <f t="array" ref="K78">J78/1.19</f>
        <v>37.0168067226891</v>
      </c>
      <c r="L78" s="54" cm="1">
        <f t="array" ref="L78">J78/1.29</f>
        <v>34.1472868217054</v>
      </c>
    </row>
    <row r="79" ht="15" customHeight="1">
      <c r="A79" s="46"/>
      <c r="B79" s="49">
        <v>4037</v>
      </c>
      <c r="C79" t="s" s="48">
        <v>98</v>
      </c>
      <c r="D79" s="49">
        <v>12</v>
      </c>
      <c r="E79" s="50">
        <v>0.065</v>
      </c>
      <c r="F79" s="51">
        <v>19.19</v>
      </c>
      <c r="G79" s="51">
        <v>21.46</v>
      </c>
      <c r="H79" s="52" cm="1">
        <f t="array" ref="H79">F79/1.09</f>
        <v>17.605504587156</v>
      </c>
      <c r="I79" s="52" cm="1">
        <f t="array" ref="I79">G79/1.09</f>
        <v>19.6880733944954</v>
      </c>
      <c r="J79" s="53">
        <v>16.34</v>
      </c>
      <c r="K79" s="53" cm="1">
        <f t="array" ref="K79">J79/1.19</f>
        <v>13.7310924369748</v>
      </c>
      <c r="L79" s="54" cm="1">
        <f t="array" ref="L79">J79/1.29</f>
        <v>12.6666666666667</v>
      </c>
    </row>
    <row r="80" ht="15" customHeight="1">
      <c r="A80" s="46"/>
      <c r="B80" s="49">
        <v>4038</v>
      </c>
      <c r="C80" t="s" s="48">
        <v>99</v>
      </c>
      <c r="D80" s="49">
        <v>12</v>
      </c>
      <c r="E80" s="50">
        <v>0.065</v>
      </c>
      <c r="F80" s="51">
        <v>23.54</v>
      </c>
      <c r="G80" s="51">
        <v>25.81</v>
      </c>
      <c r="H80" s="52" cm="1">
        <f t="array" ref="H80">F80/1.09</f>
        <v>21.5963302752294</v>
      </c>
      <c r="I80" s="52" cm="1">
        <f t="array" ref="I80">G80/1.09</f>
        <v>23.6788990825688</v>
      </c>
      <c r="J80" s="53">
        <v>20.69</v>
      </c>
      <c r="K80" s="53" cm="1">
        <f t="array" ref="K80">J80/1.19</f>
        <v>17.3865546218487</v>
      </c>
      <c r="L80" s="54" cm="1">
        <f t="array" ref="L80">J80/1.29</f>
        <v>16.0387596899225</v>
      </c>
    </row>
    <row r="81" ht="15" customHeight="1">
      <c r="A81" s="46"/>
      <c r="B81" s="49">
        <v>4039</v>
      </c>
      <c r="C81" t="s" s="48">
        <v>100</v>
      </c>
      <c r="D81" s="49">
        <v>12</v>
      </c>
      <c r="E81" s="50">
        <v>0.065</v>
      </c>
      <c r="F81" s="51">
        <v>25.86</v>
      </c>
      <c r="G81" s="51">
        <v>30.6</v>
      </c>
      <c r="H81" s="52" cm="1">
        <f t="array" ref="H81">F81/1.09</f>
        <v>23.7247706422018</v>
      </c>
      <c r="I81" s="52" cm="1">
        <f t="array" ref="I81">G81/1.09</f>
        <v>28.0733944954128</v>
      </c>
      <c r="J81" s="53">
        <v>19.93</v>
      </c>
      <c r="K81" s="53" cm="1">
        <f t="array" ref="K81">J81/1.19</f>
        <v>16.7478991596639</v>
      </c>
      <c r="L81" s="54" cm="1">
        <f t="array" ref="L81">J81/1.29</f>
        <v>15.4496124031008</v>
      </c>
    </row>
    <row r="82" ht="15" customHeight="1">
      <c r="A82" s="46"/>
      <c r="B82" s="49">
        <v>4042</v>
      </c>
      <c r="C82" t="s" s="48">
        <v>101</v>
      </c>
      <c r="D82" s="49">
        <v>6</v>
      </c>
      <c r="E82" s="50">
        <v>0.065</v>
      </c>
      <c r="F82" s="51">
        <v>32.76</v>
      </c>
      <c r="G82" s="51">
        <v>37.1</v>
      </c>
      <c r="H82" s="52" cm="1">
        <f t="array" ref="H82">F82/1.09</f>
        <v>30.0550458715596</v>
      </c>
      <c r="I82" s="52" cm="1">
        <f t="array" ref="I82">G82/1.09</f>
        <v>34.0366972477064</v>
      </c>
      <c r="J82" s="53">
        <v>27.35</v>
      </c>
      <c r="K82" s="53" cm="1">
        <f t="array" ref="K82">J82/1.19</f>
        <v>22.9831932773109</v>
      </c>
      <c r="L82" s="54" cm="1">
        <f t="array" ref="L82">J82/1.29</f>
        <v>21.2015503875969</v>
      </c>
    </row>
    <row r="83" ht="15" customHeight="1">
      <c r="A83" s="46"/>
      <c r="B83" s="49">
        <v>4043</v>
      </c>
      <c r="C83" t="s" s="48">
        <v>102</v>
      </c>
      <c r="D83" s="49">
        <v>6</v>
      </c>
      <c r="E83" s="50">
        <v>0.065</v>
      </c>
      <c r="F83" s="51">
        <v>36.09</v>
      </c>
      <c r="G83" s="51">
        <v>40.41</v>
      </c>
      <c r="H83" s="52" cm="1">
        <f t="array" ref="H83">F83/1.09</f>
        <v>33.1100917431193</v>
      </c>
      <c r="I83" s="52" cm="1">
        <f t="array" ref="I83">G83/1.09</f>
        <v>37.0733944954128</v>
      </c>
      <c r="J83" s="53">
        <v>30.68</v>
      </c>
      <c r="K83" s="53" cm="1">
        <f t="array" ref="K83">J83/1.19</f>
        <v>25.781512605042</v>
      </c>
      <c r="L83" s="54" cm="1">
        <f t="array" ref="L83">J83/1.29</f>
        <v>23.7829457364341</v>
      </c>
    </row>
    <row r="84" ht="15" customHeight="1">
      <c r="A84" s="46"/>
      <c r="B84" s="49">
        <v>4044</v>
      </c>
      <c r="C84" t="s" s="48">
        <v>103</v>
      </c>
      <c r="D84" s="49">
        <v>6</v>
      </c>
      <c r="E84" s="50">
        <v>0.065</v>
      </c>
      <c r="F84" s="51">
        <v>36.28</v>
      </c>
      <c r="G84" s="51">
        <v>40.79</v>
      </c>
      <c r="H84" s="52" cm="1">
        <f t="array" ref="H84">F84/1.09</f>
        <v>33.2844036697248</v>
      </c>
      <c r="I84" s="52" cm="1">
        <f t="array" ref="I84">G84/1.09</f>
        <v>37.4220183486239</v>
      </c>
      <c r="J84" s="53">
        <v>30.65</v>
      </c>
      <c r="K84" s="53" cm="1">
        <f t="array" ref="K84">J84/1.19</f>
        <v>25.7563025210084</v>
      </c>
      <c r="L84" s="54" cm="1">
        <f t="array" ref="L84">J84/1.29</f>
        <v>23.7596899224806</v>
      </c>
    </row>
    <row r="85" ht="15" customHeight="1">
      <c r="A85" s="46"/>
      <c r="B85" s="49">
        <v>4045</v>
      </c>
      <c r="C85" t="s" s="48">
        <v>104</v>
      </c>
      <c r="D85" s="49">
        <v>6</v>
      </c>
      <c r="E85" s="50">
        <v>0.065</v>
      </c>
      <c r="F85" s="51">
        <v>39.73</v>
      </c>
      <c r="G85" s="51">
        <v>44.24</v>
      </c>
      <c r="H85" s="52" cm="1">
        <f t="array" ref="H85">F85/1.09</f>
        <v>36.4495412844037</v>
      </c>
      <c r="I85" s="52" cm="1">
        <f t="array" ref="I85">G85/1.09</f>
        <v>40.5871559633028</v>
      </c>
      <c r="J85" s="53">
        <v>34.1</v>
      </c>
      <c r="K85" s="53" cm="1">
        <f t="array" ref="K85">J85/1.19</f>
        <v>28.6554621848739</v>
      </c>
      <c r="L85" s="54" cm="1">
        <f t="array" ref="L85">J85/1.29</f>
        <v>26.4341085271318</v>
      </c>
    </row>
    <row r="86" ht="15" customHeight="1">
      <c r="A86" s="46"/>
      <c r="B86" s="49">
        <v>4046</v>
      </c>
      <c r="C86" t="s" s="48">
        <v>105</v>
      </c>
      <c r="D86" s="49">
        <v>12</v>
      </c>
      <c r="E86" s="50">
        <v>0.065</v>
      </c>
      <c r="F86" s="51">
        <v>3.84</v>
      </c>
      <c r="G86" s="51">
        <v>4.29</v>
      </c>
      <c r="H86" s="52" cm="1">
        <f t="array" ref="H86">F86/1.09</f>
        <v>3.52293577981651</v>
      </c>
      <c r="I86" s="52" cm="1">
        <f t="array" ref="I86">G86/1.09</f>
        <v>3.93577981651376</v>
      </c>
      <c r="J86" s="53">
        <v>3.26</v>
      </c>
      <c r="K86" s="53" cm="1">
        <f t="array" ref="K86">J86/1.19</f>
        <v>2.73949579831933</v>
      </c>
      <c r="L86" s="54" cm="1">
        <f t="array" ref="L86">J86/1.29</f>
        <v>2.52713178294574</v>
      </c>
    </row>
    <row r="87" ht="15" customHeight="1">
      <c r="A87" s="46"/>
      <c r="B87" s="49">
        <v>4047</v>
      </c>
      <c r="C87" t="s" s="48">
        <v>106</v>
      </c>
      <c r="D87" s="49">
        <v>12</v>
      </c>
      <c r="E87" s="50">
        <v>0.065</v>
      </c>
      <c r="F87" s="51">
        <v>18.63</v>
      </c>
      <c r="G87" s="51">
        <v>21.88</v>
      </c>
      <c r="H87" s="52" cm="1">
        <f t="array" ref="H87">F87/1.09</f>
        <v>17.0917431192661</v>
      </c>
      <c r="I87" s="52" cm="1">
        <f t="array" ref="I87">G87/1.09</f>
        <v>20.0733944954128</v>
      </c>
      <c r="J87" s="53">
        <v>14.56</v>
      </c>
      <c r="K87" s="53" cm="1">
        <f t="array" ref="K87">J87/1.19</f>
        <v>12.2352941176471</v>
      </c>
      <c r="L87" s="54" cm="1">
        <f t="array" ref="L87">J87/1.29</f>
        <v>11.2868217054264</v>
      </c>
    </row>
    <row r="88" ht="15" customHeight="1">
      <c r="A88" s="46"/>
      <c r="B88" s="49">
        <v>4048</v>
      </c>
      <c r="C88" t="s" s="48">
        <v>107</v>
      </c>
      <c r="D88" s="49">
        <v>12</v>
      </c>
      <c r="E88" s="50">
        <v>0.065</v>
      </c>
      <c r="F88" s="51">
        <v>25.96</v>
      </c>
      <c r="G88" s="51">
        <v>29.21</v>
      </c>
      <c r="H88" s="52" cm="1">
        <f t="array" ref="H88">F88/1.09</f>
        <v>23.8165137614679</v>
      </c>
      <c r="I88" s="52" cm="1">
        <f t="array" ref="I88">G88/1.09</f>
        <v>26.7981651376147</v>
      </c>
      <c r="J88" s="53">
        <v>21.9</v>
      </c>
      <c r="K88" s="53" cm="1">
        <f t="array" ref="K88">J88/1.19</f>
        <v>18.4033613445378</v>
      </c>
      <c r="L88" s="54" cm="1">
        <f t="array" ref="L88">J88/1.29</f>
        <v>16.9767441860465</v>
      </c>
    </row>
    <row r="89" ht="15" customHeight="1">
      <c r="A89" s="46"/>
      <c r="B89" s="49">
        <v>4049</v>
      </c>
      <c r="C89" t="s" s="48">
        <v>108</v>
      </c>
      <c r="D89" s="49">
        <v>12</v>
      </c>
      <c r="E89" s="50">
        <v>0.065</v>
      </c>
      <c r="F89" s="51">
        <v>20.85</v>
      </c>
      <c r="G89" s="51">
        <v>24.23</v>
      </c>
      <c r="H89" s="52" cm="1">
        <f t="array" ref="H89">F89/1.09</f>
        <v>19.1284403669725</v>
      </c>
      <c r="I89" s="52" cm="1">
        <f t="array" ref="I89">G89/1.09</f>
        <v>22.2293577981651</v>
      </c>
      <c r="J89" s="53">
        <v>16.63</v>
      </c>
      <c r="K89" s="53" cm="1">
        <f t="array" ref="K89">J89/1.19</f>
        <v>13.9747899159664</v>
      </c>
      <c r="L89" s="54" cm="1">
        <f t="array" ref="L89">J89/1.29</f>
        <v>12.8914728682171</v>
      </c>
    </row>
    <row r="90" ht="15" customHeight="1">
      <c r="A90" s="46"/>
      <c r="B90" s="49">
        <v>4050</v>
      </c>
      <c r="C90" t="s" s="48">
        <v>109</v>
      </c>
      <c r="D90" s="49">
        <v>12</v>
      </c>
      <c r="E90" s="50">
        <v>0.065</v>
      </c>
      <c r="F90" s="51">
        <v>28.11</v>
      </c>
      <c r="G90" s="51">
        <v>31.49</v>
      </c>
      <c r="H90" s="52" cm="1">
        <f t="array" ref="H90">F90/1.09</f>
        <v>25.7889908256881</v>
      </c>
      <c r="I90" s="52" cm="1">
        <f t="array" ref="I90">G90/1.09</f>
        <v>28.8899082568807</v>
      </c>
      <c r="J90" s="53">
        <v>23.89</v>
      </c>
      <c r="K90" s="53" cm="1">
        <f t="array" ref="K90">J90/1.19</f>
        <v>20.0756302521008</v>
      </c>
      <c r="L90" s="54" cm="1">
        <f t="array" ref="L90">J90/1.29</f>
        <v>18.5193798449612</v>
      </c>
    </row>
    <row r="91" ht="15" customHeight="1">
      <c r="A91" s="46"/>
      <c r="B91" s="49">
        <v>4051</v>
      </c>
      <c r="C91" t="s" s="48">
        <v>110</v>
      </c>
      <c r="D91" s="49">
        <v>12</v>
      </c>
      <c r="E91" s="50">
        <v>0.065</v>
      </c>
      <c r="F91" s="51">
        <v>22.78</v>
      </c>
      <c r="G91" s="51">
        <v>26.03</v>
      </c>
      <c r="H91" s="52" cm="1">
        <f t="array" ref="H91">F91/1.09</f>
        <v>20.8990825688073</v>
      </c>
      <c r="I91" s="52" cm="1">
        <f t="array" ref="I91">G91/1.09</f>
        <v>23.8807339449541</v>
      </c>
      <c r="J91" s="53">
        <v>18.71</v>
      </c>
      <c r="K91" s="53" cm="1">
        <f t="array" ref="K91">J91/1.19</f>
        <v>15.7226890756303</v>
      </c>
      <c r="L91" s="54" cm="1">
        <f t="array" ref="L91">J91/1.29</f>
        <v>14.5038759689922</v>
      </c>
    </row>
    <row r="92" ht="15" customHeight="1">
      <c r="A92" s="46"/>
      <c r="B92" s="49">
        <v>4052</v>
      </c>
      <c r="C92" t="s" s="48">
        <v>111</v>
      </c>
      <c r="D92" s="49">
        <v>12</v>
      </c>
      <c r="E92" s="50">
        <v>0.065</v>
      </c>
      <c r="F92" s="51">
        <v>25.55</v>
      </c>
      <c r="G92" s="51">
        <v>28.93</v>
      </c>
      <c r="H92" s="52" cm="1">
        <f t="array" ref="H92">F92/1.09</f>
        <v>23.4403669724771</v>
      </c>
      <c r="I92" s="52" cm="1">
        <f t="array" ref="I92">G92/1.09</f>
        <v>26.5412844036697</v>
      </c>
      <c r="J92" s="53">
        <v>21.33</v>
      </c>
      <c r="K92" s="53" cm="1">
        <f t="array" ref="K92">J92/1.19</f>
        <v>17.9243697478992</v>
      </c>
      <c r="L92" s="54" cm="1">
        <f t="array" ref="L92">J92/1.29</f>
        <v>16.5348837209302</v>
      </c>
    </row>
    <row r="93" ht="15" customHeight="1">
      <c r="A93" s="46"/>
      <c r="B93" s="49">
        <v>4054</v>
      </c>
      <c r="C93" t="s" s="48">
        <v>112</v>
      </c>
      <c r="D93" s="49">
        <v>12</v>
      </c>
      <c r="E93" s="50">
        <v>0.065</v>
      </c>
      <c r="F93" s="51">
        <v>19.39</v>
      </c>
      <c r="G93" s="51">
        <v>23.75</v>
      </c>
      <c r="H93" s="52" cm="1">
        <f t="array" ref="H93">F93/1.09</f>
        <v>17.7889908256881</v>
      </c>
      <c r="I93" s="52" cm="1">
        <f t="array" ref="I93">G93/1.09</f>
        <v>21.7889908256881</v>
      </c>
      <c r="J93" s="53">
        <v>13.94</v>
      </c>
      <c r="K93" s="53" cm="1">
        <f t="array" ref="K93">J93/1.19</f>
        <v>11.7142857142857</v>
      </c>
      <c r="L93" s="54" cm="1">
        <f t="array" ref="L93">J93/1.29</f>
        <v>10.8062015503876</v>
      </c>
    </row>
    <row r="94" ht="15" customHeight="1">
      <c r="A94" s="46"/>
      <c r="B94" s="49">
        <v>4055</v>
      </c>
      <c r="C94" t="s" s="48">
        <v>113</v>
      </c>
      <c r="D94" s="49">
        <v>12</v>
      </c>
      <c r="E94" s="50">
        <v>0.065</v>
      </c>
      <c r="F94" s="51">
        <v>28.44</v>
      </c>
      <c r="G94" s="51">
        <v>31.73</v>
      </c>
      <c r="H94" s="52" cm="1">
        <f t="array" ref="H94">F94/1.09</f>
        <v>26.0917431192661</v>
      </c>
      <c r="I94" s="52" cm="1">
        <f t="array" ref="I94">G94/1.09</f>
        <v>29.1100917431193</v>
      </c>
      <c r="J94" s="53">
        <v>22.78</v>
      </c>
      <c r="K94" s="53" cm="1">
        <f t="array" ref="K94">J94/1.19</f>
        <v>19.1428571428571</v>
      </c>
      <c r="L94" s="54" cm="1">
        <f t="array" ref="L94">J94/1.29</f>
        <v>17.6589147286822</v>
      </c>
    </row>
    <row r="95" ht="15" customHeight="1">
      <c r="A95" s="46"/>
      <c r="B95" s="49">
        <v>4056</v>
      </c>
      <c r="C95" t="s" s="48">
        <v>114</v>
      </c>
      <c r="D95" s="49">
        <v>24</v>
      </c>
      <c r="E95" s="65">
        <v>0.0325</v>
      </c>
      <c r="F95" s="51">
        <v>7.4</v>
      </c>
      <c r="G95" s="51">
        <v>8.31</v>
      </c>
      <c r="H95" s="52" cm="1">
        <f t="array" ref="H95">F95/1.09</f>
        <v>6.78899082568807</v>
      </c>
      <c r="I95" s="52" cm="1">
        <f t="array" ref="I95">G95/1.09</f>
        <v>7.62385321100917</v>
      </c>
      <c r="J95" s="53">
        <v>6.28</v>
      </c>
      <c r="K95" s="53" cm="1">
        <f t="array" ref="K95">J95/1.19</f>
        <v>5.27731092436975</v>
      </c>
      <c r="L95" s="54" cm="1">
        <f t="array" ref="L95">J95/1.29</f>
        <v>4.86821705426357</v>
      </c>
    </row>
    <row r="96" ht="15" customHeight="1">
      <c r="A96" s="46"/>
      <c r="B96" s="49">
        <v>4057</v>
      </c>
      <c r="C96" t="s" s="48">
        <v>115</v>
      </c>
      <c r="D96" s="49">
        <v>12</v>
      </c>
      <c r="E96" s="50">
        <v>0.065</v>
      </c>
      <c r="F96" s="51">
        <v>20.99</v>
      </c>
      <c r="G96" s="51">
        <v>22.61</v>
      </c>
      <c r="H96" s="52" cm="1">
        <f t="array" ref="H96">F96/1.09</f>
        <v>19.256880733945</v>
      </c>
      <c r="I96" s="52" cm="1">
        <f t="array" ref="I96">G96/1.09</f>
        <v>20.743119266055</v>
      </c>
      <c r="J96" s="53">
        <v>18.96</v>
      </c>
      <c r="K96" s="53" cm="1">
        <f t="array" ref="K96">J96/1.19</f>
        <v>15.9327731092437</v>
      </c>
      <c r="L96" s="54" cm="1">
        <f t="array" ref="L96">J96/1.29</f>
        <v>14.6976744186047</v>
      </c>
    </row>
    <row r="97" ht="15" customHeight="1">
      <c r="A97" s="46"/>
      <c r="B97" s="49">
        <v>4058</v>
      </c>
      <c r="C97" t="s" s="48">
        <v>116</v>
      </c>
      <c r="D97" s="49">
        <v>12</v>
      </c>
      <c r="E97" s="50">
        <v>0.065</v>
      </c>
      <c r="F97" s="51">
        <v>18.36</v>
      </c>
      <c r="G97" s="51">
        <v>19.99</v>
      </c>
      <c r="H97" s="52" cm="1">
        <f t="array" ref="H97">F97/1.09</f>
        <v>16.8440366972477</v>
      </c>
      <c r="I97" s="52" cm="1">
        <f t="array" ref="I97">G97/1.09</f>
        <v>18.3394495412844</v>
      </c>
      <c r="J97" s="53">
        <v>16.33</v>
      </c>
      <c r="K97" s="53" cm="1">
        <f t="array" ref="K97">J97/1.19</f>
        <v>13.7226890756303</v>
      </c>
      <c r="L97" s="54" cm="1">
        <f t="array" ref="L97">J97/1.29</f>
        <v>12.6589147286822</v>
      </c>
    </row>
    <row r="98" ht="15" customHeight="1">
      <c r="A98" s="46"/>
      <c r="B98" s="49">
        <v>4059</v>
      </c>
      <c r="C98" t="s" s="48">
        <v>117</v>
      </c>
      <c r="D98" s="49">
        <v>24</v>
      </c>
      <c r="E98" s="65">
        <v>0.0325</v>
      </c>
      <c r="F98" s="51">
        <v>6.84</v>
      </c>
      <c r="G98" s="51">
        <v>7.75</v>
      </c>
      <c r="H98" s="52" cm="1">
        <f t="array" ref="H98">F98/1.09</f>
        <v>6.27522935779817</v>
      </c>
      <c r="I98" s="52" cm="1">
        <f t="array" ref="I98">G98/1.09</f>
        <v>7.11009174311927</v>
      </c>
      <c r="J98" s="53">
        <v>5.71</v>
      </c>
      <c r="K98" s="53" cm="1">
        <f t="array" ref="K98">J98/1.19</f>
        <v>4.79831932773109</v>
      </c>
      <c r="L98" s="54" cm="1">
        <f t="array" ref="L98">J98/1.29</f>
        <v>4.42635658914729</v>
      </c>
    </row>
    <row r="99" ht="15" customHeight="1">
      <c r="A99" s="46"/>
      <c r="B99" s="49">
        <v>4060</v>
      </c>
      <c r="C99" t="s" s="48">
        <v>118</v>
      </c>
      <c r="D99" s="49">
        <v>24</v>
      </c>
      <c r="E99" s="65">
        <v>0.0325</v>
      </c>
      <c r="F99" s="51">
        <v>7.54</v>
      </c>
      <c r="G99" s="51">
        <v>8.460000000000001</v>
      </c>
      <c r="H99" s="52" cm="1">
        <f t="array" ref="H99">F99/1.09</f>
        <v>6.91743119266055</v>
      </c>
      <c r="I99" s="52" cm="1">
        <f t="array" ref="I99">G99/1.09</f>
        <v>7.76146788990826</v>
      </c>
      <c r="J99" s="53">
        <v>6.36</v>
      </c>
      <c r="K99" s="53" cm="1">
        <f t="array" ref="K99">J99/1.19</f>
        <v>5.34453781512605</v>
      </c>
      <c r="L99" s="54" cm="1">
        <f t="array" ref="L99">J99/1.29</f>
        <v>4.93023255813953</v>
      </c>
    </row>
    <row r="100" ht="15" customHeight="1">
      <c r="A100" s="46"/>
      <c r="B100" s="49">
        <v>4061</v>
      </c>
      <c r="C100" t="s" s="48">
        <v>119</v>
      </c>
      <c r="D100" s="49">
        <v>12</v>
      </c>
      <c r="E100" s="65">
        <v>0.0325</v>
      </c>
      <c r="F100" s="51">
        <v>11.23</v>
      </c>
      <c r="G100" s="51">
        <v>12.28</v>
      </c>
      <c r="H100" s="52" cm="1">
        <f t="array" ref="H100">F100/1.09</f>
        <v>10.302752293578</v>
      </c>
      <c r="I100" s="52" cm="1">
        <f t="array" ref="I100">G100/1.09</f>
        <v>11.2660550458716</v>
      </c>
      <c r="J100" s="53">
        <v>9.93</v>
      </c>
      <c r="K100" s="53" cm="1">
        <f t="array" ref="K100">J100/1.19</f>
        <v>8.344537815126049</v>
      </c>
      <c r="L100" s="54" cm="1">
        <f t="array" ref="L100">J100/1.29</f>
        <v>7.69767441860465</v>
      </c>
    </row>
    <row r="101" ht="15" customHeight="1">
      <c r="A101" s="46"/>
      <c r="B101" s="49">
        <v>4063</v>
      </c>
      <c r="C101" t="s" s="48">
        <v>120</v>
      </c>
      <c r="D101" s="49">
        <v>12</v>
      </c>
      <c r="E101" s="50">
        <v>0.065</v>
      </c>
      <c r="F101" s="51">
        <v>12.13</v>
      </c>
      <c r="G101" s="51">
        <v>12.65</v>
      </c>
      <c r="H101" s="52" cm="1">
        <f t="array" ref="H101">F101/1.09</f>
        <v>11.1284403669725</v>
      </c>
      <c r="I101" s="52" cm="1">
        <f t="array" ref="I101">G101/1.09</f>
        <v>11.605504587156</v>
      </c>
      <c r="J101" s="53">
        <v>11.48</v>
      </c>
      <c r="K101" s="53" cm="1">
        <f t="array" ref="K101">J101/1.19</f>
        <v>9.647058823529409</v>
      </c>
      <c r="L101" s="54" cm="1">
        <f t="array" ref="L101">J101/1.29</f>
        <v>8.89922480620155</v>
      </c>
    </row>
    <row r="102" ht="15" customHeight="1">
      <c r="A102" s="46"/>
      <c r="B102" s="49">
        <v>4065</v>
      </c>
      <c r="C102" t="s" s="48">
        <v>121</v>
      </c>
      <c r="D102" s="49">
        <v>12</v>
      </c>
      <c r="E102" s="50">
        <v>0.065</v>
      </c>
      <c r="F102" s="51">
        <v>24.13</v>
      </c>
      <c r="G102" s="51">
        <v>28.75</v>
      </c>
      <c r="H102" s="52" cm="1">
        <f t="array" ref="H102">F102/1.09</f>
        <v>22.1376146788991</v>
      </c>
      <c r="I102" s="52" cm="1">
        <f t="array" ref="I102">G102/1.09</f>
        <v>26.3761467889908</v>
      </c>
      <c r="J102" s="53">
        <v>18.34</v>
      </c>
      <c r="K102" s="53" cm="1">
        <f t="array" ref="K102">J102/1.19</f>
        <v>15.4117647058824</v>
      </c>
      <c r="L102" s="54" cm="1">
        <f t="array" ref="L102">J102/1.29</f>
        <v>14.2170542635659</v>
      </c>
    </row>
    <row r="103" ht="15" customHeight="1">
      <c r="A103" s="46"/>
      <c r="B103" s="49">
        <v>4066</v>
      </c>
      <c r="C103" t="s" s="48">
        <v>122</v>
      </c>
      <c r="D103" s="49">
        <v>12</v>
      </c>
      <c r="E103" s="50">
        <v>0.065</v>
      </c>
      <c r="F103" s="51">
        <v>28.76</v>
      </c>
      <c r="G103" s="51">
        <v>33.39</v>
      </c>
      <c r="H103" s="52" cm="1">
        <f t="array" ref="H103">F103/1.09</f>
        <v>26.3853211009174</v>
      </c>
      <c r="I103" s="52" cm="1">
        <f t="array" ref="I103">G103/1.09</f>
        <v>30.6330275229358</v>
      </c>
      <c r="J103" s="53">
        <v>22.98</v>
      </c>
      <c r="K103" s="53" cm="1">
        <f t="array" ref="K103">J103/1.19</f>
        <v>19.3109243697479</v>
      </c>
      <c r="L103" s="54" cm="1">
        <f t="array" ref="L103">J103/1.29</f>
        <v>17.8139534883721</v>
      </c>
    </row>
    <row r="104" ht="15" customHeight="1">
      <c r="A104" s="46"/>
      <c r="B104" s="49">
        <v>4067</v>
      </c>
      <c r="C104" t="s" s="48">
        <v>123</v>
      </c>
      <c r="D104" s="49">
        <v>12</v>
      </c>
      <c r="E104" s="50">
        <v>0.065</v>
      </c>
      <c r="F104" s="51">
        <v>31.8</v>
      </c>
      <c r="G104" s="51">
        <v>36.43</v>
      </c>
      <c r="H104" s="52" cm="1">
        <f t="array" ref="H104">F104/1.09</f>
        <v>29.1743119266055</v>
      </c>
      <c r="I104" s="52" cm="1">
        <f t="array" ref="I104">G104/1.09</f>
        <v>33.4220183486239</v>
      </c>
      <c r="J104" s="53">
        <v>26.01</v>
      </c>
      <c r="K104" s="53" cm="1">
        <f t="array" ref="K104">J104/1.19</f>
        <v>21.8571428571429</v>
      </c>
      <c r="L104" s="54" cm="1">
        <f t="array" ref="L104">J104/1.29</f>
        <v>20.1627906976744</v>
      </c>
    </row>
    <row r="105" ht="15" customHeight="1">
      <c r="A105" s="46"/>
      <c r="B105" s="49">
        <v>4068</v>
      </c>
      <c r="C105" t="s" s="48">
        <v>124</v>
      </c>
      <c r="D105" s="49">
        <v>12</v>
      </c>
      <c r="E105" s="50">
        <v>0.065</v>
      </c>
      <c r="F105" s="51">
        <v>25.15</v>
      </c>
      <c r="G105" s="51">
        <v>27.56</v>
      </c>
      <c r="H105" s="52" cm="1">
        <f t="array" ref="H105">F105/1.09</f>
        <v>23.0733944954128</v>
      </c>
      <c r="I105" s="52" cm="1">
        <f t="array" ref="I105">G105/1.09</f>
        <v>25.2844036697248</v>
      </c>
      <c r="J105" s="53">
        <v>22.13</v>
      </c>
      <c r="K105" s="53" cm="1">
        <f t="array" ref="K105">J105/1.19</f>
        <v>18.5966386554622</v>
      </c>
      <c r="L105" s="54" cm="1">
        <f t="array" ref="L105">J105/1.29</f>
        <v>17.1550387596899</v>
      </c>
    </row>
    <row r="106" ht="15" customHeight="1">
      <c r="A106" s="46"/>
      <c r="B106" s="49">
        <v>4069</v>
      </c>
      <c r="C106" t="s" s="48">
        <v>125</v>
      </c>
      <c r="D106" s="49">
        <v>12</v>
      </c>
      <c r="E106" s="50">
        <v>0.065</v>
      </c>
      <c r="F106" s="51">
        <v>28.14</v>
      </c>
      <c r="G106" s="51">
        <v>30.55</v>
      </c>
      <c r="H106" s="52" cm="1">
        <f t="array" ref="H106">F106/1.09</f>
        <v>25.8165137614679</v>
      </c>
      <c r="I106" s="52" cm="1">
        <f t="array" ref="I106">G106/1.09</f>
        <v>28.0275229357798</v>
      </c>
      <c r="J106" s="53">
        <v>25.13</v>
      </c>
      <c r="K106" s="53" cm="1">
        <f t="array" ref="K106">J106/1.19</f>
        <v>21.1176470588235</v>
      </c>
      <c r="L106" s="54" cm="1">
        <f t="array" ref="L106">J106/1.29</f>
        <v>19.4806201550388</v>
      </c>
    </row>
    <row r="107" ht="15" customHeight="1">
      <c r="A107" s="46"/>
      <c r="B107" s="49">
        <v>4070</v>
      </c>
      <c r="C107" t="s" s="48">
        <v>126</v>
      </c>
      <c r="D107" s="49">
        <v>12</v>
      </c>
      <c r="E107" s="50">
        <v>0.065</v>
      </c>
      <c r="F107" s="51">
        <v>6.18</v>
      </c>
      <c r="G107" s="51">
        <v>6.51</v>
      </c>
      <c r="H107" s="52" cm="1">
        <f t="array" ref="H107">F107/1.09</f>
        <v>5.6697247706422</v>
      </c>
      <c r="I107" s="52" cm="1">
        <f t="array" ref="I107">G107/1.09</f>
        <v>5.97247706422018</v>
      </c>
      <c r="J107" s="53">
        <v>5.75</v>
      </c>
      <c r="K107" s="53" cm="1">
        <f t="array" ref="K107">J107/1.19</f>
        <v>4.83193277310924</v>
      </c>
      <c r="L107" s="54" cm="1">
        <f t="array" ref="L107">J107/1.29</f>
        <v>4.45736434108527</v>
      </c>
    </row>
    <row r="108" ht="15" customHeight="1">
      <c r="A108" s="46"/>
      <c r="B108" s="49">
        <v>4071</v>
      </c>
      <c r="C108" t="s" s="48">
        <v>127</v>
      </c>
      <c r="D108" s="49">
        <v>12</v>
      </c>
      <c r="E108" s="50">
        <v>0.065</v>
      </c>
      <c r="F108" s="51">
        <v>9</v>
      </c>
      <c r="G108" s="51">
        <v>9.4</v>
      </c>
      <c r="H108" s="52" cm="1">
        <f t="array" ref="H108">F108/1.09</f>
        <v>8.25688073394495</v>
      </c>
      <c r="I108" s="52" cm="1">
        <f t="array" ref="I108">G108/1.09</f>
        <v>8.62385321100917</v>
      </c>
      <c r="J108" s="53">
        <v>8.5</v>
      </c>
      <c r="K108" s="53" cm="1">
        <f t="array" ref="K108">J108/1.19</f>
        <v>7.14285714285714</v>
      </c>
      <c r="L108" s="54" cm="1">
        <f t="array" ref="L108">J108/1.29</f>
        <v>6.58914728682171</v>
      </c>
    </row>
    <row r="109" ht="15" customHeight="1">
      <c r="A109" s="46"/>
      <c r="B109" s="49">
        <v>6007</v>
      </c>
      <c r="C109" t="s" s="48">
        <v>128</v>
      </c>
      <c r="D109" s="49">
        <v>24</v>
      </c>
      <c r="E109" s="50">
        <v>0.065</v>
      </c>
      <c r="F109" s="51">
        <v>6.7</v>
      </c>
      <c r="G109" s="51">
        <v>7.15</v>
      </c>
      <c r="H109" s="52" cm="1">
        <f t="array" ref="H109">F109/1.09</f>
        <v>6.14678899082569</v>
      </c>
      <c r="I109" s="52" cm="1">
        <f t="array" ref="I109">G109/1.09</f>
        <v>6.55963302752294</v>
      </c>
      <c r="J109" s="53">
        <v>6.13</v>
      </c>
      <c r="K109" s="53" cm="1">
        <f t="array" ref="K109">J109/1.19</f>
        <v>5.15126050420168</v>
      </c>
      <c r="L109" s="54" cm="1">
        <f t="array" ref="L109">J109/1.29</f>
        <v>4.75193798449612</v>
      </c>
    </row>
    <row r="110" ht="15" customHeight="1">
      <c r="A110" s="46"/>
      <c r="B110" s="49">
        <v>6009</v>
      </c>
      <c r="C110" t="s" s="48">
        <v>129</v>
      </c>
      <c r="D110" s="49">
        <v>12</v>
      </c>
      <c r="E110" s="50">
        <v>0.065</v>
      </c>
      <c r="F110" s="51">
        <v>18.34</v>
      </c>
      <c r="G110" s="51">
        <v>19.43</v>
      </c>
      <c r="H110" s="52" cm="1">
        <f t="array" ref="H110">F110/1.09</f>
        <v>16.8256880733945</v>
      </c>
      <c r="I110" s="52" cm="1">
        <f t="array" ref="I110">G110/1.09</f>
        <v>17.8256880733945</v>
      </c>
      <c r="J110" s="53">
        <v>16.98</v>
      </c>
      <c r="K110" s="53" cm="1">
        <f t="array" ref="K110">J110/1.19</f>
        <v>14.2689075630252</v>
      </c>
      <c r="L110" s="54" cm="1">
        <f t="array" ref="L110">J110/1.29</f>
        <v>13.1627906976744</v>
      </c>
    </row>
    <row r="111" ht="15.75" customHeight="1">
      <c r="A111" s="55"/>
      <c r="B111" s="56">
        <v>6011</v>
      </c>
      <c r="C111" t="s" s="57">
        <v>130</v>
      </c>
      <c r="D111" s="56">
        <v>24</v>
      </c>
      <c r="E111" s="58">
        <v>0.065</v>
      </c>
      <c r="F111" s="59">
        <v>5.05</v>
      </c>
      <c r="G111" s="59">
        <v>5.36</v>
      </c>
      <c r="H111" s="60" cm="1">
        <f t="array" ref="H111">F111/1.09</f>
        <v>4.63302752293578</v>
      </c>
      <c r="I111" s="60" cm="1">
        <f t="array" ref="I111">G111/1.09</f>
        <v>4.91743119266055</v>
      </c>
      <c r="J111" s="61">
        <v>4.68</v>
      </c>
      <c r="K111" s="61" cm="1">
        <f t="array" ref="K111">J111/1.19</f>
        <v>3.9327731092437</v>
      </c>
      <c r="L111" s="62" cm="1">
        <f t="array" ref="L111">J111/1.29</f>
        <v>3.62790697674419</v>
      </c>
    </row>
    <row r="112" ht="15" customHeight="1">
      <c r="A112" t="s" s="37">
        <v>131</v>
      </c>
      <c r="B112" s="40">
        <v>8001</v>
      </c>
      <c r="C112" t="s" s="39">
        <v>132</v>
      </c>
      <c r="D112" s="40">
        <v>9</v>
      </c>
      <c r="E112" s="41">
        <v>0.065</v>
      </c>
      <c r="F112" s="42">
        <v>45.15</v>
      </c>
      <c r="G112" s="42">
        <v>49.19</v>
      </c>
      <c r="H112" s="43" cm="1">
        <f t="array" ref="H112">F112/1.09</f>
        <v>41.4220183486239</v>
      </c>
      <c r="I112" s="43" cm="1">
        <f t="array" ref="I112">G112/1.09</f>
        <v>45.1284403669725</v>
      </c>
      <c r="J112" s="44">
        <v>40.1</v>
      </c>
      <c r="K112" s="44" cm="1">
        <f t="array" ref="K112">J112/1.19</f>
        <v>33.6974789915966</v>
      </c>
      <c r="L112" s="45" cm="1">
        <f t="array" ref="L112">J112/1.29</f>
        <v>31.0852713178295</v>
      </c>
    </row>
    <row r="113" ht="15" customHeight="1">
      <c r="A113" s="46"/>
      <c r="B113" s="49">
        <v>8002</v>
      </c>
      <c r="C113" t="s" s="48">
        <v>133</v>
      </c>
      <c r="D113" s="49">
        <v>6</v>
      </c>
      <c r="E113" s="50">
        <v>0.065</v>
      </c>
      <c r="F113" s="51">
        <v>58.48</v>
      </c>
      <c r="G113" s="51">
        <v>63.86</v>
      </c>
      <c r="H113" s="52" cm="1">
        <f t="array" ref="H113">F113/1.09</f>
        <v>53.651376146789</v>
      </c>
      <c r="I113" s="52" cm="1">
        <f t="array" ref="I113">G113/1.09</f>
        <v>58.5871559633028</v>
      </c>
      <c r="J113" s="53">
        <v>51.75</v>
      </c>
      <c r="K113" s="53" cm="1">
        <f t="array" ref="K113">J113/1.19</f>
        <v>43.4873949579832</v>
      </c>
      <c r="L113" s="54" cm="1">
        <f t="array" ref="L113">J113/1.29</f>
        <v>40.1162790697674</v>
      </c>
    </row>
    <row r="114" ht="15" customHeight="1">
      <c r="A114" s="46"/>
      <c r="B114" s="49">
        <v>8003</v>
      </c>
      <c r="C114" t="s" s="48">
        <v>134</v>
      </c>
      <c r="D114" s="49">
        <v>6</v>
      </c>
      <c r="E114" s="50">
        <v>0.065</v>
      </c>
      <c r="F114" s="51">
        <v>64.89</v>
      </c>
      <c r="G114" s="51">
        <v>70.26000000000001</v>
      </c>
      <c r="H114" s="52" cm="1">
        <f t="array" ref="H114">F114/1.09</f>
        <v>59.5321100917431</v>
      </c>
      <c r="I114" s="52" cm="1">
        <f t="array" ref="I114">G114/1.09</f>
        <v>64.45871559633029</v>
      </c>
      <c r="J114" s="53">
        <v>58.15</v>
      </c>
      <c r="K114" s="53" cm="1">
        <f t="array" ref="K114">J114/1.19</f>
        <v>48.8655462184874</v>
      </c>
      <c r="L114" s="54" cm="1">
        <f t="array" ref="L114">J114/1.29</f>
        <v>45.077519379845</v>
      </c>
    </row>
    <row r="115" ht="15" customHeight="1">
      <c r="A115" s="46"/>
      <c r="B115" s="49">
        <v>8004</v>
      </c>
      <c r="C115" t="s" s="48">
        <v>135</v>
      </c>
      <c r="D115" s="49">
        <v>12</v>
      </c>
      <c r="E115" s="50">
        <v>0.065</v>
      </c>
      <c r="F115" s="51">
        <v>18.35</v>
      </c>
      <c r="G115" s="51">
        <v>19.44</v>
      </c>
      <c r="H115" s="52" cm="1">
        <f t="array" ref="H115">F115/1.09</f>
        <v>16.8348623853211</v>
      </c>
      <c r="I115" s="52" cm="1">
        <f t="array" ref="I115">G115/1.09</f>
        <v>17.8348623853211</v>
      </c>
      <c r="J115" s="53">
        <v>17</v>
      </c>
      <c r="K115" s="53" cm="1">
        <f t="array" ref="K115">J115/1.19</f>
        <v>14.2857142857143</v>
      </c>
      <c r="L115" s="54" cm="1">
        <f t="array" ref="L115">J115/1.29</f>
        <v>13.1782945736434</v>
      </c>
    </row>
    <row r="116" ht="15" customHeight="1">
      <c r="A116" s="46"/>
      <c r="B116" s="49">
        <v>8011</v>
      </c>
      <c r="C116" t="s" s="48">
        <v>136</v>
      </c>
      <c r="D116" s="49">
        <v>12</v>
      </c>
      <c r="E116" s="50">
        <v>0.065</v>
      </c>
      <c r="F116" s="51">
        <v>20.06</v>
      </c>
      <c r="G116" s="51">
        <v>22.43</v>
      </c>
      <c r="H116" s="52" cm="1">
        <f t="array" ref="H116">F116/1.09</f>
        <v>18.4036697247706</v>
      </c>
      <c r="I116" s="52" cm="1">
        <f t="array" ref="I116">G116/1.09</f>
        <v>20.5779816513761</v>
      </c>
      <c r="J116" s="53">
        <v>17.1</v>
      </c>
      <c r="K116" s="53" cm="1">
        <f t="array" ref="K116">J116/1.19</f>
        <v>14.3697478991597</v>
      </c>
      <c r="L116" s="54" cm="1">
        <f t="array" ref="L116">J116/1.29</f>
        <v>13.2558139534884</v>
      </c>
    </row>
    <row r="117" ht="15" customHeight="1">
      <c r="A117" s="46"/>
      <c r="B117" s="49">
        <v>8012</v>
      </c>
      <c r="C117" t="s" s="48">
        <v>137</v>
      </c>
      <c r="D117" s="49">
        <v>12</v>
      </c>
      <c r="E117" s="50">
        <v>0.065</v>
      </c>
      <c r="F117" s="51">
        <v>5.95</v>
      </c>
      <c r="G117" s="51">
        <v>6.48</v>
      </c>
      <c r="H117" s="52" cm="1">
        <f t="array" ref="H117">F117/1.09</f>
        <v>5.45871559633028</v>
      </c>
      <c r="I117" s="52" cm="1">
        <f t="array" ref="I117">G117/1.09</f>
        <v>5.94495412844037</v>
      </c>
      <c r="J117" s="53">
        <v>5.29</v>
      </c>
      <c r="K117" s="53" cm="1">
        <f t="array" ref="K117">J117/1.19</f>
        <v>4.4453781512605</v>
      </c>
      <c r="L117" s="54" cm="1">
        <f t="array" ref="L117">J117/1.29</f>
        <v>4.10077519379845</v>
      </c>
    </row>
    <row r="118" ht="15" customHeight="1">
      <c r="A118" s="46"/>
      <c r="B118" s="49">
        <v>8013</v>
      </c>
      <c r="C118" t="s" s="48">
        <v>138</v>
      </c>
      <c r="D118" s="49">
        <v>12</v>
      </c>
      <c r="E118" s="50">
        <v>0.065</v>
      </c>
      <c r="F118" s="51">
        <v>11.83</v>
      </c>
      <c r="G118" s="51">
        <v>12.88</v>
      </c>
      <c r="H118" s="52" cm="1">
        <f t="array" ref="H118">F118/1.09</f>
        <v>10.8532110091743</v>
      </c>
      <c r="I118" s="52" cm="1">
        <f t="array" ref="I118">G118/1.09</f>
        <v>11.8165137614679</v>
      </c>
      <c r="J118" s="53">
        <v>10.53</v>
      </c>
      <c r="K118" s="53" cm="1">
        <f t="array" ref="K118">J118/1.19</f>
        <v>8.84873949579832</v>
      </c>
      <c r="L118" s="54" cm="1">
        <f t="array" ref="L118">J118/1.29</f>
        <v>8.162790697674421</v>
      </c>
    </row>
    <row r="119" ht="15.75" customHeight="1">
      <c r="A119" s="55"/>
      <c r="B119" s="56">
        <v>8014</v>
      </c>
      <c r="C119" t="s" s="57">
        <v>139</v>
      </c>
      <c r="D119" s="56">
        <v>12</v>
      </c>
      <c r="E119" s="58">
        <v>0.065</v>
      </c>
      <c r="F119" s="59">
        <v>9.18</v>
      </c>
      <c r="G119" s="59">
        <v>9.58</v>
      </c>
      <c r="H119" s="60" cm="1">
        <f t="array" ref="H119">F119/1.09</f>
        <v>8.422018348623849</v>
      </c>
      <c r="I119" s="60" cm="1">
        <f t="array" ref="I119">G119/1.09</f>
        <v>8.788990825688071</v>
      </c>
      <c r="J119" s="61">
        <v>8.68</v>
      </c>
      <c r="K119" s="61" cm="1">
        <f t="array" ref="K119">J119/1.19</f>
        <v>7.29411764705882</v>
      </c>
      <c r="L119" s="62" cm="1">
        <f t="array" ref="L119">J119/1.29</f>
        <v>6.72868217054264</v>
      </c>
    </row>
    <row r="120" ht="15.75" customHeight="1">
      <c r="A120" s="70"/>
      <c r="B120" s="71"/>
      <c r="C120" s="72"/>
      <c r="D120" s="71"/>
      <c r="E120" s="73"/>
      <c r="F120" s="74"/>
      <c r="G120" s="74"/>
      <c r="H120" s="74"/>
      <c r="I120" s="74"/>
      <c r="J120" s="75"/>
      <c r="K120" s="75"/>
      <c r="L120" s="76"/>
    </row>
    <row r="121" ht="15.75" customHeight="1">
      <c r="A121" t="s" s="77">
        <v>140</v>
      </c>
      <c r="B121" s="78"/>
      <c r="C121" s="78"/>
      <c r="D121" s="79"/>
      <c r="E121" s="79"/>
      <c r="F121" s="79"/>
      <c r="G121" s="79"/>
      <c r="H121" s="79"/>
      <c r="I121" s="79"/>
      <c r="J121" s="79"/>
      <c r="K121" s="79"/>
      <c r="L121" s="80"/>
    </row>
    <row r="122" ht="15.75" customHeight="1">
      <c r="A122" t="s" s="81">
        <v>141</v>
      </c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3"/>
    </row>
    <row r="123" ht="15.75" customHeight="1">
      <c r="A123" t="s" s="84">
        <v>142</v>
      </c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6"/>
    </row>
    <row r="124" ht="15" customHeight="1">
      <c r="A124" t="s" s="87">
        <v>143</v>
      </c>
      <c r="B124" s="88"/>
      <c r="C124" s="88"/>
      <c r="D124" s="89"/>
      <c r="E124" s="89"/>
      <c r="F124" s="89"/>
      <c r="G124" s="89"/>
      <c r="H124" s="89"/>
      <c r="I124" s="89"/>
      <c r="J124" s="89"/>
      <c r="K124" s="89"/>
      <c r="L124" s="90"/>
    </row>
    <row r="125" ht="15" customHeight="1">
      <c r="A125" t="s" s="91">
        <v>144</v>
      </c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3"/>
    </row>
    <row r="126" ht="15" customHeight="1">
      <c r="A126" t="s" s="91">
        <v>145</v>
      </c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3"/>
    </row>
    <row r="127" ht="15" customHeight="1">
      <c r="A127" t="s" s="91">
        <v>146</v>
      </c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3"/>
    </row>
    <row r="128" ht="15" customHeight="1">
      <c r="A128" t="s" s="91">
        <v>147</v>
      </c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3"/>
    </row>
    <row r="129" ht="15.75" customHeight="1">
      <c r="A129" t="s" s="94">
        <v>148</v>
      </c>
      <c r="B129" s="95"/>
      <c r="C129" s="95"/>
      <c r="D129" s="95"/>
      <c r="E129" s="95"/>
      <c r="F129" s="95"/>
      <c r="G129" s="96"/>
      <c r="H129" s="95"/>
      <c r="I129" s="95"/>
      <c r="J129" s="95"/>
      <c r="K129" s="95"/>
      <c r="L129" s="97"/>
    </row>
    <row r="130" ht="15.75" customHeight="1">
      <c r="A130" t="s" s="81">
        <v>149</v>
      </c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3"/>
    </row>
    <row r="131" ht="15" customHeight="1">
      <c r="A131" t="s" s="98">
        <v>150</v>
      </c>
      <c r="B131" s="99"/>
      <c r="C131" s="99"/>
      <c r="D131" s="100"/>
      <c r="E131" s="100"/>
      <c r="F131" s="100"/>
      <c r="G131" s="100"/>
      <c r="H131" s="100"/>
      <c r="I131" s="100"/>
      <c r="J131" s="100"/>
      <c r="K131" s="100"/>
      <c r="L131" s="101"/>
    </row>
    <row r="132" ht="15" customHeight="1">
      <c r="A132" t="s" s="102">
        <v>151</v>
      </c>
      <c r="B132" s="103"/>
      <c r="C132" s="103"/>
      <c r="D132" s="103"/>
      <c r="E132" s="103"/>
      <c r="F132" s="104"/>
      <c r="G132" s="104"/>
      <c r="H132" s="104"/>
      <c r="I132" s="104"/>
      <c r="J132" s="104"/>
      <c r="K132" s="104"/>
      <c r="L132" s="105"/>
    </row>
    <row r="133" ht="15" customHeight="1">
      <c r="A133" t="s" s="102">
        <v>152</v>
      </c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6"/>
    </row>
    <row r="134" ht="15" customHeight="1">
      <c r="A134" t="s" s="102">
        <v>153</v>
      </c>
      <c r="B134" s="103"/>
      <c r="C134" s="103"/>
      <c r="D134" s="103"/>
      <c r="E134" s="103"/>
      <c r="F134" s="103"/>
      <c r="G134" s="103"/>
      <c r="H134" s="103"/>
      <c r="I134" s="103"/>
      <c r="J134" s="103"/>
      <c r="K134" s="103"/>
      <c r="L134" s="106"/>
    </row>
    <row r="135" ht="15" customHeight="1">
      <c r="A135" t="s" s="102">
        <v>154</v>
      </c>
      <c r="B135" s="103"/>
      <c r="C135" s="103"/>
      <c r="D135" s="103"/>
      <c r="E135" s="103"/>
      <c r="F135" s="103"/>
      <c r="G135" s="103"/>
      <c r="H135" s="103"/>
      <c r="I135" s="103"/>
      <c r="J135" s="103"/>
      <c r="K135" s="103"/>
      <c r="L135" s="106"/>
    </row>
    <row r="136" ht="15.75" customHeight="1">
      <c r="A136" t="s" s="107">
        <v>155</v>
      </c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9"/>
    </row>
    <row r="137" ht="15.75" customHeight="1">
      <c r="A137" t="s" s="84">
        <v>156</v>
      </c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6"/>
    </row>
    <row r="138" ht="15" customHeight="1">
      <c r="A138" t="s" s="87">
        <v>157</v>
      </c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110"/>
    </row>
    <row r="139" ht="15" customHeight="1">
      <c r="A139" t="s" s="91">
        <v>158</v>
      </c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3"/>
    </row>
    <row r="140" ht="15" customHeight="1">
      <c r="A140" t="s" s="91">
        <v>159</v>
      </c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3"/>
    </row>
    <row r="141" ht="15.75" customHeight="1">
      <c r="A141" t="s" s="94">
        <v>160</v>
      </c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111"/>
    </row>
    <row r="142" ht="15.75" customHeight="1">
      <c r="A142" t="s" s="81">
        <v>161</v>
      </c>
      <c r="B142" s="82"/>
      <c r="C142" s="82"/>
      <c r="D142" s="112"/>
      <c r="E142" s="112"/>
      <c r="F142" s="112"/>
      <c r="G142" s="112"/>
      <c r="H142" s="112"/>
      <c r="I142" s="112"/>
      <c r="J142" s="112"/>
      <c r="K142" s="112"/>
      <c r="L142" s="113"/>
    </row>
    <row r="143" ht="15" customHeight="1">
      <c r="A143" t="s" s="98">
        <v>162</v>
      </c>
      <c r="B143" s="99"/>
      <c r="C143" s="99"/>
      <c r="D143" s="99"/>
      <c r="E143" s="99"/>
      <c r="F143" s="99"/>
      <c r="G143" s="99"/>
      <c r="H143" s="99"/>
      <c r="I143" s="99"/>
      <c r="J143" s="99"/>
      <c r="K143" s="99"/>
      <c r="L143" s="114"/>
    </row>
    <row r="144" ht="15.75" customHeight="1">
      <c r="A144" t="s" s="107">
        <v>163</v>
      </c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9"/>
    </row>
    <row r="145" ht="15.75" customHeight="1">
      <c r="A145" t="s" s="84">
        <v>164</v>
      </c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6"/>
    </row>
    <row r="146" ht="15" customHeight="1">
      <c r="A146" t="s" s="87">
        <v>165</v>
      </c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110"/>
    </row>
    <row r="147" ht="15" customHeight="1">
      <c r="A147" t="s" s="91">
        <v>166</v>
      </c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3"/>
    </row>
    <row r="148" ht="15" customHeight="1">
      <c r="A148" t="s" s="91">
        <v>167</v>
      </c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3"/>
    </row>
    <row r="149" ht="15" customHeight="1">
      <c r="A149" t="s" s="91">
        <v>168</v>
      </c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3"/>
    </row>
    <row r="150" ht="15" customHeight="1">
      <c r="A150" t="s" s="91">
        <v>169</v>
      </c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3"/>
    </row>
    <row r="151" ht="15.75" customHeight="1">
      <c r="A151" t="s" s="94">
        <v>170</v>
      </c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111"/>
    </row>
    <row r="152" ht="15" customHeight="1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</row>
    <row r="153" ht="21" customHeight="1">
      <c r="A153" t="s" s="116">
        <v>171</v>
      </c>
      <c r="B153" s="117"/>
      <c r="C153" s="117"/>
      <c r="D153" s="118"/>
      <c r="E153" s="118"/>
      <c r="F153" s="118"/>
      <c r="G153" s="118"/>
      <c r="H153" s="118"/>
      <c r="I153" s="118"/>
      <c r="J153" s="118"/>
      <c r="K153" s="118"/>
      <c r="L153" s="118"/>
    </row>
    <row r="154" ht="15" customHeight="1">
      <c r="A154" t="s" s="119">
        <v>172</v>
      </c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</row>
    <row r="155" ht="15" customHeight="1">
      <c r="A155" t="s" s="119">
        <v>173</v>
      </c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</row>
    <row r="156" ht="15" customHeight="1">
      <c r="A156" t="s" s="119">
        <v>174</v>
      </c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</row>
    <row r="157" ht="15" customHeight="1">
      <c r="A157" t="s" s="119">
        <v>175</v>
      </c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</row>
    <row r="158" ht="15" customHeight="1">
      <c r="A158" t="s" s="119">
        <v>176</v>
      </c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</row>
    <row r="159" ht="15" customHeight="1">
      <c r="A159" t="s" s="119">
        <v>177</v>
      </c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</row>
    <row r="160" ht="15" customHeight="1">
      <c r="A160" t="s" s="119">
        <v>178</v>
      </c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</row>
    <row r="161" ht="15" customHeight="1">
      <c r="A161" t="s" s="119">
        <v>179</v>
      </c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</row>
    <row r="162" ht="15" customHeight="1">
      <c r="A162" t="s" s="119">
        <v>180</v>
      </c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</row>
    <row r="163" ht="15" customHeight="1">
      <c r="A163" t="s" s="119">
        <v>181</v>
      </c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</row>
    <row r="164" ht="15" customHeight="1">
      <c r="A164" t="s" s="119">
        <v>182</v>
      </c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</row>
    <row r="165" ht="15" customHeight="1">
      <c r="A165" t="s" s="119">
        <v>183</v>
      </c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</row>
    <row r="166" ht="15" customHeight="1">
      <c r="A166" t="s" s="119">
        <v>184</v>
      </c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</row>
  </sheetData>
  <mergeCells count="34">
    <mergeCell ref="C1:E1"/>
    <mergeCell ref="F1:G2"/>
    <mergeCell ref="J1:L2"/>
    <mergeCell ref="C2:E2"/>
    <mergeCell ref="H1:I2"/>
    <mergeCell ref="A128:L128"/>
    <mergeCell ref="A4:A18"/>
    <mergeCell ref="A121:C121"/>
    <mergeCell ref="A122:L122"/>
    <mergeCell ref="A123:L123"/>
    <mergeCell ref="A125:L125"/>
    <mergeCell ref="A126:L126"/>
    <mergeCell ref="A127:L127"/>
    <mergeCell ref="A19:A53"/>
    <mergeCell ref="A54:A65"/>
    <mergeCell ref="A112:A119"/>
    <mergeCell ref="A66:A111"/>
    <mergeCell ref="A146:L146"/>
    <mergeCell ref="A130:L130"/>
    <mergeCell ref="A133:L133"/>
    <mergeCell ref="A134:L134"/>
    <mergeCell ref="A135:L135"/>
    <mergeCell ref="A136:L136"/>
    <mergeCell ref="A137:L137"/>
    <mergeCell ref="A138:L138"/>
    <mergeCell ref="A139:L139"/>
    <mergeCell ref="A140:L140"/>
    <mergeCell ref="A141:L141"/>
    <mergeCell ref="A145:L145"/>
    <mergeCell ref="A147:L147"/>
    <mergeCell ref="A148:L148"/>
    <mergeCell ref="A149:L149"/>
    <mergeCell ref="A150:L150"/>
    <mergeCell ref="A151:L151"/>
  </mergeCells>
  <pageMargins left="0.511811" right="0" top="0.19685" bottom="0.1968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