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nis.Mingone\Documents\GERENCIAL\ADM VENDAS\Politica Comercial\"/>
    </mc:Choice>
  </mc:AlternateContent>
  <bookViews>
    <workbookView xWindow="0" yWindow="0" windowWidth="14055" windowHeight="1560"/>
  </bookViews>
  <sheets>
    <sheet name="REGULADORES" sheetId="1" r:id="rId1"/>
    <sheet name="CONDULETES" sheetId="2" r:id="rId2"/>
    <sheet name="REGISTROS" sheetId="3" r:id="rId3"/>
  </sheets>
  <definedNames>
    <definedName name="_xlnm.Print_Area" localSheetId="1">CONDULETES!$A$1:$I$52</definedName>
    <definedName name="_xlnm.Print_Area" localSheetId="2">REGISTROS!$B$1:$H$78</definedName>
    <definedName name="_xlnm.Print_Area" localSheetId="0">REGULADORES!$A$1:$N$89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89" i="1" l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54" i="1"/>
  <c r="H65" i="1"/>
  <c r="H55" i="1"/>
  <c r="H56" i="1"/>
  <c r="H57" i="1"/>
  <c r="H58" i="1"/>
  <c r="H59" i="1"/>
  <c r="H60" i="1"/>
  <c r="H61" i="1"/>
  <c r="H62" i="1"/>
  <c r="H63" i="1"/>
  <c r="H64" i="1"/>
  <c r="G40" i="3"/>
  <c r="H40" i="3"/>
  <c r="G41" i="3"/>
  <c r="H41" i="3" s="1"/>
  <c r="G42" i="3"/>
  <c r="H42" i="3"/>
  <c r="G43" i="3"/>
  <c r="H43" i="3" s="1"/>
  <c r="G44" i="3"/>
  <c r="H44" i="3" s="1"/>
  <c r="G45" i="3"/>
  <c r="H45" i="3" s="1"/>
  <c r="G46" i="3"/>
  <c r="H46" i="3" s="1"/>
  <c r="G47" i="3"/>
  <c r="H47" i="3" s="1"/>
  <c r="G48" i="3"/>
  <c r="H48" i="3" s="1"/>
  <c r="G49" i="3"/>
  <c r="H49" i="3"/>
  <c r="G50" i="3"/>
  <c r="H50" i="3" s="1"/>
  <c r="G51" i="3"/>
  <c r="H51" i="3" s="1"/>
  <c r="G52" i="3"/>
  <c r="H52" i="3" s="1"/>
  <c r="G53" i="3"/>
  <c r="H53" i="3" s="1"/>
  <c r="G54" i="3"/>
  <c r="H54" i="3" s="1"/>
  <c r="G55" i="3"/>
  <c r="H55" i="3" s="1"/>
  <c r="G56" i="3"/>
  <c r="H56" i="3" s="1"/>
  <c r="G57" i="3"/>
  <c r="H57" i="3" s="1"/>
  <c r="G58" i="3"/>
  <c r="H58" i="3" s="1"/>
  <c r="G59" i="3"/>
  <c r="H59" i="3" s="1"/>
  <c r="G60" i="3"/>
  <c r="H60" i="3" s="1"/>
  <c r="G61" i="3"/>
  <c r="H61" i="3" s="1"/>
  <c r="G62" i="3"/>
  <c r="H62" i="3" s="1"/>
  <c r="G63" i="3"/>
  <c r="H63" i="3" s="1"/>
  <c r="G64" i="3"/>
  <c r="H64" i="3" s="1"/>
  <c r="G65" i="3"/>
  <c r="H65" i="3" s="1"/>
  <c r="G66" i="3"/>
  <c r="H66" i="3" s="1"/>
  <c r="G67" i="3"/>
  <c r="H67" i="3" s="1"/>
  <c r="G68" i="3"/>
  <c r="H68" i="3" s="1"/>
  <c r="G69" i="3"/>
  <c r="H69" i="3" s="1"/>
  <c r="G70" i="3"/>
  <c r="H70" i="3" s="1"/>
  <c r="G71" i="3"/>
  <c r="H71" i="3" s="1"/>
  <c r="G72" i="3"/>
  <c r="H72" i="3" s="1"/>
  <c r="G73" i="3"/>
  <c r="H73" i="3" s="1"/>
  <c r="G74" i="3"/>
  <c r="H74" i="3" s="1"/>
  <c r="G75" i="3"/>
  <c r="H75" i="3" s="1"/>
  <c r="G76" i="3"/>
  <c r="H76" i="3" s="1"/>
  <c r="G77" i="3"/>
  <c r="H77" i="3" s="1"/>
  <c r="G78" i="3"/>
  <c r="H78" i="3" s="1"/>
  <c r="G39" i="3"/>
  <c r="H39" i="3" s="1"/>
  <c r="G38" i="3"/>
  <c r="H38" i="3" s="1"/>
  <c r="G37" i="3"/>
  <c r="H37" i="3" s="1"/>
  <c r="G36" i="3"/>
  <c r="H36" i="3" s="1"/>
  <c r="G35" i="3"/>
  <c r="H35" i="3" s="1"/>
  <c r="G34" i="3"/>
  <c r="H34" i="3" s="1"/>
  <c r="G21" i="3"/>
  <c r="H21" i="3" s="1"/>
  <c r="G22" i="3"/>
  <c r="H22" i="3" s="1"/>
  <c r="G23" i="3"/>
  <c r="H23" i="3" s="1"/>
  <c r="G24" i="3"/>
  <c r="H24" i="3" s="1"/>
  <c r="G25" i="3"/>
  <c r="H25" i="3" s="1"/>
  <c r="G26" i="3"/>
  <c r="H26" i="3" s="1"/>
  <c r="G27" i="3"/>
  <c r="H27" i="3" s="1"/>
  <c r="G28" i="3"/>
  <c r="H28" i="3" s="1"/>
  <c r="G29" i="3"/>
  <c r="H29" i="3" s="1"/>
  <c r="G30" i="3"/>
  <c r="H30" i="3"/>
  <c r="G31" i="3"/>
  <c r="H31" i="3" s="1"/>
  <c r="G32" i="3"/>
  <c r="H32" i="3" s="1"/>
  <c r="G33" i="3"/>
  <c r="H33" i="3" s="1"/>
  <c r="G20" i="3"/>
  <c r="H20" i="3" s="1"/>
  <c r="G19" i="3"/>
  <c r="H19" i="3" s="1"/>
  <c r="G15" i="3"/>
  <c r="H15" i="3" s="1"/>
  <c r="G16" i="3"/>
  <c r="H16" i="3" s="1"/>
  <c r="G17" i="3"/>
  <c r="H17" i="3" s="1"/>
  <c r="G18" i="3"/>
  <c r="H18" i="3"/>
  <c r="G14" i="3"/>
  <c r="H14" i="3" s="1"/>
  <c r="G5" i="3"/>
  <c r="H5" i="3" s="1"/>
  <c r="G6" i="3"/>
  <c r="H6" i="3" s="1"/>
  <c r="G7" i="3"/>
  <c r="H7" i="3" s="1"/>
  <c r="G8" i="3"/>
  <c r="H8" i="3" s="1"/>
  <c r="G9" i="3"/>
  <c r="H9" i="3" s="1"/>
  <c r="G10" i="3"/>
  <c r="H10" i="3" s="1"/>
  <c r="G11" i="3"/>
  <c r="H11" i="3" s="1"/>
  <c r="G12" i="3"/>
  <c r="H12" i="3" s="1"/>
  <c r="G13" i="3"/>
  <c r="H13" i="3" s="1"/>
  <c r="G4" i="3"/>
  <c r="H4" i="3" s="1"/>
  <c r="G3" i="3"/>
  <c r="H3" i="3" s="1"/>
  <c r="G52" i="2"/>
  <c r="H52" i="2"/>
  <c r="I52" i="2" s="1"/>
  <c r="J52" i="2" s="1"/>
  <c r="K52" i="2" s="1"/>
  <c r="L52" i="2" s="1"/>
  <c r="M52" i="2" s="1"/>
  <c r="N52" i="2" s="1"/>
  <c r="G5" i="2"/>
  <c r="H5" i="2" s="1"/>
  <c r="I5" i="2" s="1"/>
  <c r="J5" i="2" s="1"/>
  <c r="K5" i="2" s="1"/>
  <c r="L5" i="2" s="1"/>
  <c r="M5" i="2" s="1"/>
  <c r="N5" i="2" s="1"/>
  <c r="G6" i="2"/>
  <c r="H6" i="2" s="1"/>
  <c r="I6" i="2" s="1"/>
  <c r="J6" i="2" s="1"/>
  <c r="K6" i="2" s="1"/>
  <c r="L6" i="2" s="1"/>
  <c r="M6" i="2" s="1"/>
  <c r="N6" i="2" s="1"/>
  <c r="G7" i="2"/>
  <c r="H7" i="2" s="1"/>
  <c r="I7" i="2" s="1"/>
  <c r="J7" i="2" s="1"/>
  <c r="K7" i="2" s="1"/>
  <c r="L7" i="2" s="1"/>
  <c r="M7" i="2" s="1"/>
  <c r="N7" i="2" s="1"/>
  <c r="G8" i="2"/>
  <c r="H8" i="2" s="1"/>
  <c r="I8" i="2" s="1"/>
  <c r="J8" i="2" s="1"/>
  <c r="K8" i="2" s="1"/>
  <c r="L8" i="2" s="1"/>
  <c r="M8" i="2" s="1"/>
  <c r="N8" i="2" s="1"/>
  <c r="G9" i="2"/>
  <c r="H9" i="2" s="1"/>
  <c r="I9" i="2" s="1"/>
  <c r="J9" i="2" s="1"/>
  <c r="K9" i="2" s="1"/>
  <c r="L9" i="2" s="1"/>
  <c r="M9" i="2" s="1"/>
  <c r="N9" i="2" s="1"/>
  <c r="G10" i="2"/>
  <c r="H10" i="2"/>
  <c r="I10" i="2" s="1"/>
  <c r="J10" i="2" s="1"/>
  <c r="K10" i="2" s="1"/>
  <c r="L10" i="2" s="1"/>
  <c r="M10" i="2" s="1"/>
  <c r="N10" i="2" s="1"/>
  <c r="G11" i="2"/>
  <c r="H11" i="2"/>
  <c r="I11" i="2" s="1"/>
  <c r="J11" i="2" s="1"/>
  <c r="K11" i="2" s="1"/>
  <c r="L11" i="2" s="1"/>
  <c r="M11" i="2" s="1"/>
  <c r="N11" i="2" s="1"/>
  <c r="G12" i="2"/>
  <c r="H12" i="2"/>
  <c r="I12" i="2" s="1"/>
  <c r="J12" i="2" s="1"/>
  <c r="K12" i="2" s="1"/>
  <c r="L12" i="2" s="1"/>
  <c r="M12" i="2" s="1"/>
  <c r="N12" i="2" s="1"/>
  <c r="G13" i="2"/>
  <c r="H13" i="2"/>
  <c r="I13" i="2" s="1"/>
  <c r="J13" i="2" s="1"/>
  <c r="K13" i="2" s="1"/>
  <c r="L13" i="2" s="1"/>
  <c r="M13" i="2" s="1"/>
  <c r="N13" i="2" s="1"/>
  <c r="G14" i="2"/>
  <c r="H14" i="2"/>
  <c r="I14" i="2" s="1"/>
  <c r="J14" i="2" s="1"/>
  <c r="K14" i="2" s="1"/>
  <c r="L14" i="2" s="1"/>
  <c r="M14" i="2" s="1"/>
  <c r="N14" i="2" s="1"/>
  <c r="G15" i="2"/>
  <c r="H15" i="2"/>
  <c r="I15" i="2" s="1"/>
  <c r="J15" i="2" s="1"/>
  <c r="K15" i="2" s="1"/>
  <c r="L15" i="2" s="1"/>
  <c r="M15" i="2" s="1"/>
  <c r="N15" i="2" s="1"/>
  <c r="G16" i="2"/>
  <c r="H16" i="2"/>
  <c r="I16" i="2" s="1"/>
  <c r="J16" i="2" s="1"/>
  <c r="K16" i="2" s="1"/>
  <c r="L16" i="2" s="1"/>
  <c r="M16" i="2" s="1"/>
  <c r="N16" i="2" s="1"/>
  <c r="G17" i="2"/>
  <c r="H17" i="2"/>
  <c r="I17" i="2" s="1"/>
  <c r="J17" i="2" s="1"/>
  <c r="K17" i="2" s="1"/>
  <c r="L17" i="2" s="1"/>
  <c r="M17" i="2" s="1"/>
  <c r="N17" i="2" s="1"/>
  <c r="G18" i="2"/>
  <c r="H18" i="2"/>
  <c r="I18" i="2" s="1"/>
  <c r="J18" i="2" s="1"/>
  <c r="K18" i="2" s="1"/>
  <c r="L18" i="2" s="1"/>
  <c r="M18" i="2" s="1"/>
  <c r="N18" i="2" s="1"/>
  <c r="G19" i="2"/>
  <c r="H19" i="2"/>
  <c r="I19" i="2" s="1"/>
  <c r="J19" i="2" s="1"/>
  <c r="K19" i="2" s="1"/>
  <c r="L19" i="2" s="1"/>
  <c r="M19" i="2" s="1"/>
  <c r="N19" i="2" s="1"/>
  <c r="G20" i="2"/>
  <c r="H20" i="2" s="1"/>
  <c r="I20" i="2" s="1"/>
  <c r="J20" i="2" s="1"/>
  <c r="K20" i="2" s="1"/>
  <c r="L20" i="2" s="1"/>
  <c r="M20" i="2" s="1"/>
  <c r="N20" i="2" s="1"/>
  <c r="G21" i="2"/>
  <c r="H21" i="2" s="1"/>
  <c r="I21" i="2" s="1"/>
  <c r="J21" i="2" s="1"/>
  <c r="K21" i="2" s="1"/>
  <c r="L21" i="2" s="1"/>
  <c r="M21" i="2" s="1"/>
  <c r="N21" i="2" s="1"/>
  <c r="G22" i="2"/>
  <c r="H22" i="2"/>
  <c r="I22" i="2" s="1"/>
  <c r="J22" i="2" s="1"/>
  <c r="K22" i="2" s="1"/>
  <c r="L22" i="2" s="1"/>
  <c r="M22" i="2" s="1"/>
  <c r="N22" i="2" s="1"/>
  <c r="G23" i="2"/>
  <c r="H23" i="2"/>
  <c r="I23" i="2" s="1"/>
  <c r="J23" i="2" s="1"/>
  <c r="K23" i="2" s="1"/>
  <c r="L23" i="2" s="1"/>
  <c r="M23" i="2" s="1"/>
  <c r="N23" i="2" s="1"/>
  <c r="G24" i="2"/>
  <c r="H24" i="2" s="1"/>
  <c r="I24" i="2" s="1"/>
  <c r="J24" i="2" s="1"/>
  <c r="K24" i="2" s="1"/>
  <c r="L24" i="2" s="1"/>
  <c r="M24" i="2" s="1"/>
  <c r="N24" i="2" s="1"/>
  <c r="G25" i="2"/>
  <c r="H25" i="2" s="1"/>
  <c r="I25" i="2" s="1"/>
  <c r="J25" i="2" s="1"/>
  <c r="K25" i="2" s="1"/>
  <c r="L25" i="2" s="1"/>
  <c r="M25" i="2" s="1"/>
  <c r="N25" i="2" s="1"/>
  <c r="G26" i="2"/>
  <c r="H26" i="2" s="1"/>
  <c r="I26" i="2" s="1"/>
  <c r="J26" i="2" s="1"/>
  <c r="K26" i="2" s="1"/>
  <c r="L26" i="2" s="1"/>
  <c r="M26" i="2" s="1"/>
  <c r="N26" i="2" s="1"/>
  <c r="G27" i="2"/>
  <c r="H27" i="2" s="1"/>
  <c r="I27" i="2" s="1"/>
  <c r="J27" i="2" s="1"/>
  <c r="K27" i="2" s="1"/>
  <c r="L27" i="2" s="1"/>
  <c r="M27" i="2" s="1"/>
  <c r="N27" i="2" s="1"/>
  <c r="G28" i="2"/>
  <c r="H28" i="2" s="1"/>
  <c r="I28" i="2" s="1"/>
  <c r="J28" i="2" s="1"/>
  <c r="K28" i="2" s="1"/>
  <c r="L28" i="2" s="1"/>
  <c r="M28" i="2" s="1"/>
  <c r="N28" i="2" s="1"/>
  <c r="G29" i="2"/>
  <c r="H29" i="2" s="1"/>
  <c r="I29" i="2" s="1"/>
  <c r="J29" i="2" s="1"/>
  <c r="K29" i="2" s="1"/>
  <c r="L29" i="2" s="1"/>
  <c r="M29" i="2" s="1"/>
  <c r="N29" i="2" s="1"/>
  <c r="G30" i="2"/>
  <c r="H30" i="2" s="1"/>
  <c r="I30" i="2" s="1"/>
  <c r="J30" i="2" s="1"/>
  <c r="K30" i="2" s="1"/>
  <c r="L30" i="2" s="1"/>
  <c r="M30" i="2" s="1"/>
  <c r="N30" i="2" s="1"/>
  <c r="G31" i="2"/>
  <c r="H31" i="2" s="1"/>
  <c r="I31" i="2" s="1"/>
  <c r="J31" i="2" s="1"/>
  <c r="K31" i="2" s="1"/>
  <c r="L31" i="2" s="1"/>
  <c r="M31" i="2" s="1"/>
  <c r="N31" i="2" s="1"/>
  <c r="G32" i="2"/>
  <c r="H32" i="2" s="1"/>
  <c r="I32" i="2" s="1"/>
  <c r="J32" i="2" s="1"/>
  <c r="K32" i="2" s="1"/>
  <c r="L32" i="2" s="1"/>
  <c r="M32" i="2" s="1"/>
  <c r="N32" i="2" s="1"/>
  <c r="G33" i="2"/>
  <c r="H33" i="2"/>
  <c r="I33" i="2" s="1"/>
  <c r="J33" i="2" s="1"/>
  <c r="K33" i="2" s="1"/>
  <c r="L33" i="2" s="1"/>
  <c r="M33" i="2" s="1"/>
  <c r="N33" i="2" s="1"/>
  <c r="G34" i="2"/>
  <c r="H34" i="2"/>
  <c r="I34" i="2" s="1"/>
  <c r="J34" i="2" s="1"/>
  <c r="K34" i="2" s="1"/>
  <c r="L34" i="2" s="1"/>
  <c r="M34" i="2" s="1"/>
  <c r="N34" i="2" s="1"/>
  <c r="G35" i="2"/>
  <c r="H35" i="2"/>
  <c r="I35" i="2" s="1"/>
  <c r="J35" i="2" s="1"/>
  <c r="K35" i="2" s="1"/>
  <c r="L35" i="2" s="1"/>
  <c r="M35" i="2" s="1"/>
  <c r="N35" i="2" s="1"/>
  <c r="G36" i="2"/>
  <c r="H36" i="2"/>
  <c r="I36" i="2" s="1"/>
  <c r="J36" i="2" s="1"/>
  <c r="K36" i="2" s="1"/>
  <c r="L36" i="2" s="1"/>
  <c r="M36" i="2" s="1"/>
  <c r="N36" i="2" s="1"/>
  <c r="G37" i="2"/>
  <c r="H37" i="2"/>
  <c r="I37" i="2" s="1"/>
  <c r="J37" i="2" s="1"/>
  <c r="K37" i="2" s="1"/>
  <c r="L37" i="2" s="1"/>
  <c r="M37" i="2" s="1"/>
  <c r="N37" i="2" s="1"/>
  <c r="G39" i="2"/>
  <c r="H39" i="2" s="1"/>
  <c r="I39" i="2" s="1"/>
  <c r="J39" i="2" s="1"/>
  <c r="K39" i="2" s="1"/>
  <c r="L39" i="2" s="1"/>
  <c r="M39" i="2" s="1"/>
  <c r="N39" i="2" s="1"/>
  <c r="G40" i="2"/>
  <c r="H40" i="2" s="1"/>
  <c r="I40" i="2" s="1"/>
  <c r="J40" i="2" s="1"/>
  <c r="K40" i="2" s="1"/>
  <c r="L40" i="2" s="1"/>
  <c r="M40" i="2" s="1"/>
  <c r="N40" i="2" s="1"/>
  <c r="G41" i="2"/>
  <c r="H41" i="2" s="1"/>
  <c r="I41" i="2" s="1"/>
  <c r="J41" i="2" s="1"/>
  <c r="K41" i="2" s="1"/>
  <c r="L41" i="2" s="1"/>
  <c r="M41" i="2" s="1"/>
  <c r="N41" i="2" s="1"/>
  <c r="G42" i="2"/>
  <c r="H42" i="2" s="1"/>
  <c r="I42" i="2" s="1"/>
  <c r="J42" i="2" s="1"/>
  <c r="K42" i="2" s="1"/>
  <c r="L42" i="2" s="1"/>
  <c r="M42" i="2" s="1"/>
  <c r="N42" i="2" s="1"/>
  <c r="G43" i="2"/>
  <c r="H43" i="2" s="1"/>
  <c r="I43" i="2" s="1"/>
  <c r="J43" i="2" s="1"/>
  <c r="K43" i="2" s="1"/>
  <c r="L43" i="2" s="1"/>
  <c r="M43" i="2" s="1"/>
  <c r="N43" i="2" s="1"/>
  <c r="G44" i="2"/>
  <c r="H44" i="2" s="1"/>
  <c r="I44" i="2" s="1"/>
  <c r="J44" i="2" s="1"/>
  <c r="K44" i="2" s="1"/>
  <c r="L44" i="2" s="1"/>
  <c r="M44" i="2" s="1"/>
  <c r="N44" i="2" s="1"/>
  <c r="G45" i="2"/>
  <c r="H45" i="2" s="1"/>
  <c r="I45" i="2" s="1"/>
  <c r="J45" i="2" s="1"/>
  <c r="K45" i="2" s="1"/>
  <c r="L45" i="2" s="1"/>
  <c r="M45" i="2" s="1"/>
  <c r="N45" i="2" s="1"/>
  <c r="G46" i="2"/>
  <c r="H46" i="2" s="1"/>
  <c r="I46" i="2" s="1"/>
  <c r="J46" i="2" s="1"/>
  <c r="K46" i="2" s="1"/>
  <c r="L46" i="2" s="1"/>
  <c r="M46" i="2" s="1"/>
  <c r="N46" i="2" s="1"/>
  <c r="G47" i="2"/>
  <c r="H47" i="2" s="1"/>
  <c r="I47" i="2" s="1"/>
  <c r="J47" i="2" s="1"/>
  <c r="K47" i="2" s="1"/>
  <c r="L47" i="2" s="1"/>
  <c r="M47" i="2" s="1"/>
  <c r="N47" i="2" s="1"/>
  <c r="G48" i="2"/>
  <c r="H48" i="2" s="1"/>
  <c r="I48" i="2" s="1"/>
  <c r="J48" i="2" s="1"/>
  <c r="K48" i="2" s="1"/>
  <c r="L48" i="2" s="1"/>
  <c r="M48" i="2" s="1"/>
  <c r="N48" i="2" s="1"/>
  <c r="G49" i="2"/>
  <c r="H49" i="2" s="1"/>
  <c r="I49" i="2" s="1"/>
  <c r="J49" i="2" s="1"/>
  <c r="K49" i="2" s="1"/>
  <c r="L49" i="2" s="1"/>
  <c r="M49" i="2" s="1"/>
  <c r="N49" i="2" s="1"/>
  <c r="G50" i="2"/>
  <c r="H50" i="2" s="1"/>
  <c r="I50" i="2" s="1"/>
  <c r="J50" i="2" s="1"/>
  <c r="K50" i="2" s="1"/>
  <c r="L50" i="2" s="1"/>
  <c r="M50" i="2" s="1"/>
  <c r="N50" i="2" s="1"/>
  <c r="G51" i="2"/>
  <c r="H51" i="2" s="1"/>
  <c r="I51" i="2" s="1"/>
  <c r="J51" i="2" s="1"/>
  <c r="K51" i="2" s="1"/>
  <c r="L51" i="2" s="1"/>
  <c r="M51" i="2" s="1"/>
  <c r="N51" i="2" s="1"/>
  <c r="N4" i="2"/>
  <c r="M4" i="2"/>
  <c r="L4" i="2"/>
  <c r="K4" i="2"/>
  <c r="J4" i="2"/>
  <c r="I4" i="2"/>
  <c r="H4" i="2"/>
  <c r="G4" i="2"/>
  <c r="G55" i="1" l="1"/>
  <c r="L5" i="1" l="1"/>
  <c r="M5" i="1"/>
  <c r="N5" i="1" s="1"/>
  <c r="L20" i="1"/>
  <c r="M20" i="1" s="1"/>
  <c r="N20" i="1" s="1"/>
  <c r="N23" i="1"/>
  <c r="L31" i="1"/>
  <c r="M31" i="1" s="1"/>
  <c r="N31" i="1" s="1"/>
  <c r="L37" i="1"/>
  <c r="M37" i="1"/>
  <c r="N37" i="1" s="1"/>
  <c r="N44" i="1"/>
  <c r="L52" i="1"/>
  <c r="M52" i="1" s="1"/>
  <c r="N52" i="1" s="1"/>
  <c r="K5" i="1"/>
  <c r="K6" i="1"/>
  <c r="L6" i="1" s="1"/>
  <c r="M6" i="1" s="1"/>
  <c r="N6" i="1" s="1"/>
  <c r="K7" i="1"/>
  <c r="L7" i="1" s="1"/>
  <c r="M7" i="1" s="1"/>
  <c r="N7" i="1" s="1"/>
  <c r="K13" i="1"/>
  <c r="L13" i="1" s="1"/>
  <c r="M13" i="1" s="1"/>
  <c r="N13" i="1" s="1"/>
  <c r="K14" i="1"/>
  <c r="L14" i="1" s="1"/>
  <c r="M14" i="1" s="1"/>
  <c r="N14" i="1" s="1"/>
  <c r="K15" i="1"/>
  <c r="L15" i="1" s="1"/>
  <c r="M15" i="1" s="1"/>
  <c r="N15" i="1" s="1"/>
  <c r="K21" i="1"/>
  <c r="L21" i="1" s="1"/>
  <c r="M21" i="1" s="1"/>
  <c r="N21" i="1" s="1"/>
  <c r="K22" i="1"/>
  <c r="L22" i="1" s="1"/>
  <c r="M22" i="1" s="1"/>
  <c r="N22" i="1" s="1"/>
  <c r="K23" i="1"/>
  <c r="L23" i="1" s="1"/>
  <c r="M23" i="1" s="1"/>
  <c r="K29" i="1"/>
  <c r="L29" i="1" s="1"/>
  <c r="M29" i="1" s="1"/>
  <c r="N29" i="1" s="1"/>
  <c r="K30" i="1"/>
  <c r="L30" i="1" s="1"/>
  <c r="M30" i="1" s="1"/>
  <c r="N30" i="1" s="1"/>
  <c r="K31" i="1"/>
  <c r="K37" i="1"/>
  <c r="K38" i="1"/>
  <c r="L38" i="1" s="1"/>
  <c r="M38" i="1" s="1"/>
  <c r="N38" i="1" s="1"/>
  <c r="K39" i="1"/>
  <c r="L39" i="1" s="1"/>
  <c r="M39" i="1" s="1"/>
  <c r="N39" i="1" s="1"/>
  <c r="K45" i="1"/>
  <c r="L45" i="1" s="1"/>
  <c r="M45" i="1" s="1"/>
  <c r="N45" i="1" s="1"/>
  <c r="K46" i="1"/>
  <c r="L46" i="1" s="1"/>
  <c r="M46" i="1" s="1"/>
  <c r="N46" i="1" s="1"/>
  <c r="K47" i="1"/>
  <c r="L47" i="1" s="1"/>
  <c r="M47" i="1" s="1"/>
  <c r="N47" i="1" s="1"/>
  <c r="K53" i="1"/>
  <c r="L53" i="1" s="1"/>
  <c r="M53" i="1" s="1"/>
  <c r="N53" i="1" s="1"/>
  <c r="J5" i="1"/>
  <c r="J6" i="1"/>
  <c r="J7" i="1"/>
  <c r="J8" i="1"/>
  <c r="K8" i="1" s="1"/>
  <c r="L8" i="1" s="1"/>
  <c r="M8" i="1" s="1"/>
  <c r="N8" i="1" s="1"/>
  <c r="J9" i="1"/>
  <c r="K9" i="1" s="1"/>
  <c r="L9" i="1" s="1"/>
  <c r="M9" i="1" s="1"/>
  <c r="N9" i="1" s="1"/>
  <c r="J13" i="1"/>
  <c r="J14" i="1"/>
  <c r="J15" i="1"/>
  <c r="J16" i="1"/>
  <c r="K16" i="1" s="1"/>
  <c r="L16" i="1" s="1"/>
  <c r="M16" i="1" s="1"/>
  <c r="N16" i="1" s="1"/>
  <c r="J17" i="1"/>
  <c r="K17" i="1" s="1"/>
  <c r="L17" i="1" s="1"/>
  <c r="M17" i="1" s="1"/>
  <c r="N17" i="1" s="1"/>
  <c r="J21" i="1"/>
  <c r="J22" i="1"/>
  <c r="J23" i="1"/>
  <c r="J24" i="1"/>
  <c r="K24" i="1" s="1"/>
  <c r="L24" i="1" s="1"/>
  <c r="M24" i="1" s="1"/>
  <c r="N24" i="1" s="1"/>
  <c r="J25" i="1"/>
  <c r="K25" i="1" s="1"/>
  <c r="L25" i="1" s="1"/>
  <c r="M25" i="1" s="1"/>
  <c r="N25" i="1" s="1"/>
  <c r="J29" i="1"/>
  <c r="J30" i="1"/>
  <c r="J31" i="1"/>
  <c r="J32" i="1"/>
  <c r="K32" i="1" s="1"/>
  <c r="L32" i="1" s="1"/>
  <c r="M32" i="1" s="1"/>
  <c r="N32" i="1" s="1"/>
  <c r="J33" i="1"/>
  <c r="K33" i="1" s="1"/>
  <c r="L33" i="1" s="1"/>
  <c r="M33" i="1" s="1"/>
  <c r="N33" i="1" s="1"/>
  <c r="J37" i="1"/>
  <c r="J38" i="1"/>
  <c r="J39" i="1"/>
  <c r="J40" i="1"/>
  <c r="K40" i="1" s="1"/>
  <c r="L40" i="1" s="1"/>
  <c r="M40" i="1" s="1"/>
  <c r="N40" i="1" s="1"/>
  <c r="J41" i="1"/>
  <c r="K41" i="1" s="1"/>
  <c r="L41" i="1" s="1"/>
  <c r="M41" i="1" s="1"/>
  <c r="N41" i="1" s="1"/>
  <c r="J45" i="1"/>
  <c r="J46" i="1"/>
  <c r="J47" i="1"/>
  <c r="J48" i="1"/>
  <c r="K48" i="1" s="1"/>
  <c r="L48" i="1" s="1"/>
  <c r="M48" i="1" s="1"/>
  <c r="N48" i="1" s="1"/>
  <c r="J49" i="1"/>
  <c r="K49" i="1" s="1"/>
  <c r="L49" i="1" s="1"/>
  <c r="M49" i="1" s="1"/>
  <c r="N49" i="1" s="1"/>
  <c r="J53" i="1"/>
  <c r="J69" i="1"/>
  <c r="K69" i="1" s="1"/>
  <c r="L69" i="1" s="1"/>
  <c r="M69" i="1" s="1"/>
  <c r="N69" i="1" s="1"/>
  <c r="J85" i="1"/>
  <c r="K85" i="1" s="1"/>
  <c r="L85" i="1" s="1"/>
  <c r="M85" i="1" s="1"/>
  <c r="N85" i="1" s="1"/>
  <c r="J86" i="1"/>
  <c r="K86" i="1" s="1"/>
  <c r="L86" i="1" s="1"/>
  <c r="M86" i="1" s="1"/>
  <c r="N86" i="1" s="1"/>
  <c r="J87" i="1"/>
  <c r="K87" i="1" s="1"/>
  <c r="L87" i="1" s="1"/>
  <c r="M87" i="1" s="1"/>
  <c r="N87" i="1" s="1"/>
  <c r="J88" i="1"/>
  <c r="K88" i="1" s="1"/>
  <c r="L88" i="1" s="1"/>
  <c r="M88" i="1" s="1"/>
  <c r="N88" i="1" s="1"/>
  <c r="I5" i="1"/>
  <c r="I6" i="1"/>
  <c r="I7" i="1"/>
  <c r="I8" i="1"/>
  <c r="I9" i="1"/>
  <c r="I10" i="1"/>
  <c r="J10" i="1" s="1"/>
  <c r="K10" i="1" s="1"/>
  <c r="L10" i="1" s="1"/>
  <c r="M10" i="1" s="1"/>
  <c r="N10" i="1" s="1"/>
  <c r="I11" i="1"/>
  <c r="J11" i="1" s="1"/>
  <c r="K11" i="1" s="1"/>
  <c r="L11" i="1" s="1"/>
  <c r="M11" i="1" s="1"/>
  <c r="N11" i="1" s="1"/>
  <c r="I12" i="1"/>
  <c r="J12" i="1" s="1"/>
  <c r="K12" i="1" s="1"/>
  <c r="L12" i="1" s="1"/>
  <c r="M12" i="1" s="1"/>
  <c r="N12" i="1" s="1"/>
  <c r="I13" i="1"/>
  <c r="I14" i="1"/>
  <c r="I15" i="1"/>
  <c r="I16" i="1"/>
  <c r="I17" i="1"/>
  <c r="I18" i="1"/>
  <c r="J18" i="1" s="1"/>
  <c r="K18" i="1" s="1"/>
  <c r="L18" i="1" s="1"/>
  <c r="M18" i="1" s="1"/>
  <c r="N18" i="1" s="1"/>
  <c r="I19" i="1"/>
  <c r="J19" i="1" s="1"/>
  <c r="K19" i="1" s="1"/>
  <c r="L19" i="1" s="1"/>
  <c r="M19" i="1" s="1"/>
  <c r="N19" i="1" s="1"/>
  <c r="I20" i="1"/>
  <c r="J20" i="1" s="1"/>
  <c r="K20" i="1" s="1"/>
  <c r="I21" i="1"/>
  <c r="I22" i="1"/>
  <c r="I23" i="1"/>
  <c r="I24" i="1"/>
  <c r="I25" i="1"/>
  <c r="I26" i="1"/>
  <c r="J26" i="1" s="1"/>
  <c r="K26" i="1" s="1"/>
  <c r="L26" i="1" s="1"/>
  <c r="M26" i="1" s="1"/>
  <c r="N26" i="1" s="1"/>
  <c r="I27" i="1"/>
  <c r="J27" i="1" s="1"/>
  <c r="K27" i="1" s="1"/>
  <c r="L27" i="1" s="1"/>
  <c r="M27" i="1" s="1"/>
  <c r="N27" i="1" s="1"/>
  <c r="I28" i="1"/>
  <c r="J28" i="1" s="1"/>
  <c r="K28" i="1" s="1"/>
  <c r="L28" i="1" s="1"/>
  <c r="M28" i="1" s="1"/>
  <c r="N28" i="1" s="1"/>
  <c r="I29" i="1"/>
  <c r="I30" i="1"/>
  <c r="I31" i="1"/>
  <c r="I32" i="1"/>
  <c r="I33" i="1"/>
  <c r="I34" i="1"/>
  <c r="J34" i="1" s="1"/>
  <c r="K34" i="1" s="1"/>
  <c r="L34" i="1" s="1"/>
  <c r="M34" i="1" s="1"/>
  <c r="N34" i="1" s="1"/>
  <c r="I35" i="1"/>
  <c r="J35" i="1" s="1"/>
  <c r="K35" i="1" s="1"/>
  <c r="L35" i="1" s="1"/>
  <c r="M35" i="1" s="1"/>
  <c r="N35" i="1" s="1"/>
  <c r="I36" i="1"/>
  <c r="J36" i="1" s="1"/>
  <c r="K36" i="1" s="1"/>
  <c r="L36" i="1" s="1"/>
  <c r="M36" i="1" s="1"/>
  <c r="N36" i="1" s="1"/>
  <c r="I37" i="1"/>
  <c r="I38" i="1"/>
  <c r="I39" i="1"/>
  <c r="I40" i="1"/>
  <c r="I41" i="1"/>
  <c r="I42" i="1"/>
  <c r="J42" i="1" s="1"/>
  <c r="K42" i="1" s="1"/>
  <c r="L42" i="1" s="1"/>
  <c r="M42" i="1" s="1"/>
  <c r="N42" i="1" s="1"/>
  <c r="I43" i="1"/>
  <c r="J43" i="1" s="1"/>
  <c r="K43" i="1" s="1"/>
  <c r="L43" i="1" s="1"/>
  <c r="M43" i="1" s="1"/>
  <c r="N43" i="1" s="1"/>
  <c r="I44" i="1"/>
  <c r="J44" i="1" s="1"/>
  <c r="K44" i="1" s="1"/>
  <c r="L44" i="1" s="1"/>
  <c r="M44" i="1" s="1"/>
  <c r="I45" i="1"/>
  <c r="I46" i="1"/>
  <c r="I47" i="1"/>
  <c r="I48" i="1"/>
  <c r="I49" i="1"/>
  <c r="I50" i="1"/>
  <c r="J50" i="1" s="1"/>
  <c r="K50" i="1" s="1"/>
  <c r="L50" i="1" s="1"/>
  <c r="M50" i="1" s="1"/>
  <c r="N50" i="1" s="1"/>
  <c r="I51" i="1"/>
  <c r="J51" i="1" s="1"/>
  <c r="K51" i="1" s="1"/>
  <c r="L51" i="1" s="1"/>
  <c r="M51" i="1" s="1"/>
  <c r="N51" i="1" s="1"/>
  <c r="I52" i="1"/>
  <c r="J52" i="1" s="1"/>
  <c r="K52" i="1" s="1"/>
  <c r="I53" i="1"/>
  <c r="I55" i="1"/>
  <c r="J55" i="1" s="1"/>
  <c r="K55" i="1" s="1"/>
  <c r="L55" i="1" s="1"/>
  <c r="M55" i="1" s="1"/>
  <c r="N55" i="1" s="1"/>
  <c r="I56" i="1"/>
  <c r="J56" i="1" s="1"/>
  <c r="K56" i="1" s="1"/>
  <c r="L56" i="1" s="1"/>
  <c r="M56" i="1" s="1"/>
  <c r="N56" i="1" s="1"/>
  <c r="I57" i="1"/>
  <c r="J57" i="1" s="1"/>
  <c r="K57" i="1" s="1"/>
  <c r="L57" i="1" s="1"/>
  <c r="M57" i="1" s="1"/>
  <c r="N57" i="1" s="1"/>
  <c r="I58" i="1"/>
  <c r="J58" i="1" s="1"/>
  <c r="K58" i="1" s="1"/>
  <c r="L58" i="1" s="1"/>
  <c r="M58" i="1" s="1"/>
  <c r="N58" i="1" s="1"/>
  <c r="I59" i="1"/>
  <c r="J59" i="1" s="1"/>
  <c r="K59" i="1" s="1"/>
  <c r="L59" i="1" s="1"/>
  <c r="M59" i="1" s="1"/>
  <c r="N59" i="1" s="1"/>
  <c r="I60" i="1"/>
  <c r="J60" i="1" s="1"/>
  <c r="K60" i="1" s="1"/>
  <c r="L60" i="1" s="1"/>
  <c r="M60" i="1" s="1"/>
  <c r="N60" i="1" s="1"/>
  <c r="I62" i="1"/>
  <c r="J62" i="1" s="1"/>
  <c r="K62" i="1" s="1"/>
  <c r="L62" i="1" s="1"/>
  <c r="M62" i="1" s="1"/>
  <c r="N62" i="1" s="1"/>
  <c r="I63" i="1"/>
  <c r="J63" i="1" s="1"/>
  <c r="K63" i="1" s="1"/>
  <c r="L63" i="1" s="1"/>
  <c r="M63" i="1" s="1"/>
  <c r="N63" i="1" s="1"/>
  <c r="I64" i="1"/>
  <c r="J64" i="1" s="1"/>
  <c r="K64" i="1" s="1"/>
  <c r="L64" i="1" s="1"/>
  <c r="M64" i="1" s="1"/>
  <c r="N64" i="1" s="1"/>
  <c r="I65" i="1"/>
  <c r="J65" i="1" s="1"/>
  <c r="K65" i="1" s="1"/>
  <c r="L65" i="1" s="1"/>
  <c r="M65" i="1" s="1"/>
  <c r="N65" i="1" s="1"/>
  <c r="I66" i="1"/>
  <c r="J66" i="1" s="1"/>
  <c r="K66" i="1" s="1"/>
  <c r="L66" i="1" s="1"/>
  <c r="M66" i="1" s="1"/>
  <c r="N66" i="1" s="1"/>
  <c r="I67" i="1"/>
  <c r="J67" i="1" s="1"/>
  <c r="K67" i="1" s="1"/>
  <c r="L67" i="1" s="1"/>
  <c r="M67" i="1" s="1"/>
  <c r="N67" i="1" s="1"/>
  <c r="I68" i="1"/>
  <c r="J68" i="1" s="1"/>
  <c r="K68" i="1" s="1"/>
  <c r="L68" i="1" s="1"/>
  <c r="M68" i="1" s="1"/>
  <c r="N68" i="1" s="1"/>
  <c r="I69" i="1"/>
  <c r="I70" i="1"/>
  <c r="J70" i="1" s="1"/>
  <c r="K70" i="1" s="1"/>
  <c r="L70" i="1" s="1"/>
  <c r="M70" i="1" s="1"/>
  <c r="N70" i="1" s="1"/>
  <c r="I71" i="1"/>
  <c r="J71" i="1" s="1"/>
  <c r="K71" i="1" s="1"/>
  <c r="L71" i="1" s="1"/>
  <c r="M71" i="1" s="1"/>
  <c r="N71" i="1" s="1"/>
  <c r="I72" i="1"/>
  <c r="J72" i="1" s="1"/>
  <c r="K72" i="1" s="1"/>
  <c r="L72" i="1" s="1"/>
  <c r="M72" i="1" s="1"/>
  <c r="N72" i="1" s="1"/>
  <c r="I73" i="1"/>
  <c r="J73" i="1" s="1"/>
  <c r="K73" i="1" s="1"/>
  <c r="L73" i="1" s="1"/>
  <c r="M73" i="1" s="1"/>
  <c r="N73" i="1" s="1"/>
  <c r="I74" i="1"/>
  <c r="J74" i="1" s="1"/>
  <c r="K74" i="1" s="1"/>
  <c r="L74" i="1" s="1"/>
  <c r="M74" i="1" s="1"/>
  <c r="N74" i="1" s="1"/>
  <c r="I75" i="1"/>
  <c r="J75" i="1" s="1"/>
  <c r="K75" i="1" s="1"/>
  <c r="L75" i="1" s="1"/>
  <c r="M75" i="1" s="1"/>
  <c r="N75" i="1" s="1"/>
  <c r="I76" i="1"/>
  <c r="J76" i="1" s="1"/>
  <c r="K76" i="1" s="1"/>
  <c r="L76" i="1" s="1"/>
  <c r="M76" i="1" s="1"/>
  <c r="N76" i="1" s="1"/>
  <c r="I77" i="1"/>
  <c r="J77" i="1" s="1"/>
  <c r="K77" i="1" s="1"/>
  <c r="L77" i="1" s="1"/>
  <c r="M77" i="1" s="1"/>
  <c r="N77" i="1" s="1"/>
  <c r="I78" i="1"/>
  <c r="J78" i="1" s="1"/>
  <c r="K78" i="1" s="1"/>
  <c r="L78" i="1" s="1"/>
  <c r="M78" i="1" s="1"/>
  <c r="N78" i="1" s="1"/>
  <c r="I79" i="1"/>
  <c r="J79" i="1" s="1"/>
  <c r="K79" i="1" s="1"/>
  <c r="L79" i="1" s="1"/>
  <c r="M79" i="1" s="1"/>
  <c r="N79" i="1" s="1"/>
  <c r="I80" i="1"/>
  <c r="J80" i="1" s="1"/>
  <c r="K80" i="1" s="1"/>
  <c r="L80" i="1" s="1"/>
  <c r="M80" i="1" s="1"/>
  <c r="N80" i="1" s="1"/>
  <c r="I81" i="1"/>
  <c r="J81" i="1" s="1"/>
  <c r="K81" i="1" s="1"/>
  <c r="L81" i="1" s="1"/>
  <c r="M81" i="1" s="1"/>
  <c r="N81" i="1" s="1"/>
  <c r="I82" i="1"/>
  <c r="J82" i="1" s="1"/>
  <c r="K82" i="1" s="1"/>
  <c r="L82" i="1" s="1"/>
  <c r="M82" i="1" s="1"/>
  <c r="N82" i="1" s="1"/>
  <c r="I83" i="1"/>
  <c r="J83" i="1" s="1"/>
  <c r="K83" i="1" s="1"/>
  <c r="L83" i="1" s="1"/>
  <c r="M83" i="1" s="1"/>
  <c r="N83" i="1" s="1"/>
  <c r="I84" i="1"/>
  <c r="J84" i="1" s="1"/>
  <c r="K84" i="1" s="1"/>
  <c r="L84" i="1" s="1"/>
  <c r="M84" i="1" s="1"/>
  <c r="N84" i="1" s="1"/>
  <c r="I85" i="1"/>
  <c r="I86" i="1"/>
  <c r="I87" i="1"/>
  <c r="I88" i="1"/>
  <c r="I89" i="1"/>
  <c r="J89" i="1" s="1"/>
  <c r="K89" i="1" s="1"/>
  <c r="L89" i="1" s="1"/>
  <c r="M89" i="1" s="1"/>
  <c r="N89" i="1" s="1"/>
  <c r="I4" i="1"/>
  <c r="J4" i="1" s="1"/>
  <c r="K4" i="1" s="1"/>
  <c r="L4" i="1" s="1"/>
  <c r="M4" i="1" s="1"/>
  <c r="N4" i="1" s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I54" i="1" s="1"/>
  <c r="J54" i="1" s="1"/>
  <c r="K54" i="1" s="1"/>
  <c r="L54" i="1" s="1"/>
  <c r="M54" i="1" s="1"/>
  <c r="N54" i="1" s="1"/>
  <c r="G56" i="1"/>
  <c r="G57" i="1"/>
  <c r="G58" i="1"/>
  <c r="G59" i="1"/>
  <c r="G60" i="1"/>
  <c r="G61" i="1"/>
  <c r="I61" i="1" s="1"/>
  <c r="J61" i="1" s="1"/>
  <c r="K61" i="1" s="1"/>
  <c r="L61" i="1" s="1"/>
  <c r="M61" i="1" s="1"/>
  <c r="N61" i="1" s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4" i="1"/>
</calcChain>
</file>

<file path=xl/sharedStrings.xml><?xml version="1.0" encoding="utf-8"?>
<sst xmlns="http://schemas.openxmlformats.org/spreadsheetml/2006/main" count="676" uniqueCount="619">
  <si>
    <t>TABELA PREÇOS IMAR REGULADORES DE GÁS E ACESSÓRIOS</t>
  </si>
  <si>
    <t xml:space="preserve">  SEGMENTO x PREÇOS</t>
  </si>
  <si>
    <t>SEGMENTO x PREÇOS</t>
  </si>
  <si>
    <t>LINHA</t>
  </si>
  <si>
    <t>COD.CATÁLOGO</t>
  </si>
  <si>
    <t>CODIGO PROTHEUS</t>
  </si>
  <si>
    <t>DESCRIÇÃO DOS PRODUTOS</t>
  </si>
  <si>
    <t>FATOR CONV.</t>
  </si>
  <si>
    <t xml:space="preserve">ATACADO </t>
  </si>
  <si>
    <t>ATACAREJO</t>
  </si>
  <si>
    <t xml:space="preserve">VAREJO </t>
  </si>
  <si>
    <t>ALUMINIO</t>
  </si>
  <si>
    <t>0728/01 NV</t>
  </si>
  <si>
    <t>0523552</t>
  </si>
  <si>
    <t>REGULADOR DE GAS 1KG/H 0728/01 (NOVO)</t>
  </si>
  <si>
    <t>0728/01B NV</t>
  </si>
  <si>
    <t>0525127</t>
  </si>
  <si>
    <t>REGULADOR DE GAS 1KG/H 0728/01B (NOVO)</t>
  </si>
  <si>
    <t>0728/02 NV</t>
  </si>
  <si>
    <t>0525128</t>
  </si>
  <si>
    <t>REGULADOR DE GAS 1KG/H C/MANG 0,80M 0728/02 (NOVO)</t>
  </si>
  <si>
    <t>0728/02B NV</t>
  </si>
  <si>
    <t>0525137</t>
  </si>
  <si>
    <t>REG. DE GAS 1KG/H C/ MANG 0,80M 0728/02B (NOVO)</t>
  </si>
  <si>
    <t>0728/03 NV</t>
  </si>
  <si>
    <t>0525134</t>
  </si>
  <si>
    <t>REG. DE GAS 1KG/H P/ TUBOFLEXIVEL 0728/03 (NOVO)</t>
  </si>
  <si>
    <t>0728/03D NV</t>
  </si>
  <si>
    <t>0523458</t>
  </si>
  <si>
    <t>REGULADOR D GAS1KG/H P/TUBOFLEXIVEL0728/03D (NOVO)</t>
  </si>
  <si>
    <t>0728/03-06B NV</t>
  </si>
  <si>
    <t>0524026</t>
  </si>
  <si>
    <t>REG. DOM C MANOMETRO SAIDA1/2BSP0728/03-06B (NOVO)</t>
  </si>
  <si>
    <t>0728/03B NV</t>
  </si>
  <si>
    <t>0523824</t>
  </si>
  <si>
    <t>REG. DE GAS 1KG/H P/ TUBOFLEXIVEL 0728/03B (NOVO)</t>
  </si>
  <si>
    <t>0728/04 NV</t>
  </si>
  <si>
    <t>0525135</t>
  </si>
  <si>
    <t>REGULADOR D GAS 1KG/H P/ TUBO COBRE 0728/04 (NOVO)</t>
  </si>
  <si>
    <t>0728/04B NV</t>
  </si>
  <si>
    <t>0523825</t>
  </si>
  <si>
    <t>REG. DE GAS 1KG/H P/ TUBO COBRE 0728/04B (NOVO)</t>
  </si>
  <si>
    <t>0728/05 NV</t>
  </si>
  <si>
    <t>0525129</t>
  </si>
  <si>
    <t>REGULADOR DE GAS 1KG/H C/MANG 1,25M 0728/05 (NOVO)</t>
  </si>
  <si>
    <t>0728/05B NV</t>
  </si>
  <si>
    <t>0525138</t>
  </si>
  <si>
    <t>REG. DE GAS 1KG/H C/ MANG 1,25M 0728/05B (NOVO)</t>
  </si>
  <si>
    <t>0728/06B NV</t>
  </si>
  <si>
    <t>0525130</t>
  </si>
  <si>
    <t>REGULADOR DE GAS 1KG/H C/MANOMETRO 0728/06B (NOVO)</t>
  </si>
  <si>
    <t>0728/06 05B NV</t>
  </si>
  <si>
    <t>0525136</t>
  </si>
  <si>
    <t>REG.D GAS1KG/H C/MANG.1,25M MAN.0728/06_05B (NOVO)</t>
  </si>
  <si>
    <t>ABS</t>
  </si>
  <si>
    <t>0727/01ABSCZ NV</t>
  </si>
  <si>
    <t>0523543</t>
  </si>
  <si>
    <t>REGULADOR DE GAS 1KG/H 0727/01ABS CZ (NOVO)</t>
  </si>
  <si>
    <t>0727/02ABSCZ NV</t>
  </si>
  <si>
    <t>0525131</t>
  </si>
  <si>
    <t>REG.DE GAS 1KG/H C/MANG 0,80M 0727/02ABS CZ (NOVO)</t>
  </si>
  <si>
    <t>0727/05ABSCZ NV</t>
  </si>
  <si>
    <t>0525132</t>
  </si>
  <si>
    <t>REG.DE GAS 1KG/H C/MANG 1,25M 0727/05ABS CZ (NOVO)</t>
  </si>
  <si>
    <t>COLORS</t>
  </si>
  <si>
    <t>0727/01B AZ NV</t>
  </si>
  <si>
    <t>0524055</t>
  </si>
  <si>
    <t>REGULADOR DE GAS 1KG/H 0727/01B AZ (NOVO)</t>
  </si>
  <si>
    <t>0727/01B RO NV</t>
  </si>
  <si>
    <t>0524056</t>
  </si>
  <si>
    <t>REGULADOR DE GAS 1KG/H 0727/01B RO (NOVO)</t>
  </si>
  <si>
    <t>0727/01B BR NV</t>
  </si>
  <si>
    <t>0524102</t>
  </si>
  <si>
    <t>REGULADOR DE GAS 1KG/H 0727/01B BR (NOVO)</t>
  </si>
  <si>
    <t>0727/06B BR NV</t>
  </si>
  <si>
    <t>0524059</t>
  </si>
  <si>
    <t>REG. DE GAS 1KG/H C/MANOMETRO 0727/06B BR (NOVO)</t>
  </si>
  <si>
    <t>0727/06B PR NV</t>
  </si>
  <si>
    <t>0524060</t>
  </si>
  <si>
    <t>REG. DE GAS 1KG/H C/MANOMETRO 0727/06B PR (NOVO)</t>
  </si>
  <si>
    <t>2000/01 NV</t>
  </si>
  <si>
    <t>0525139</t>
  </si>
  <si>
    <t>REGULADOR DE GAS 2KG/H 2000/01 (NOVO)</t>
  </si>
  <si>
    <t>2000/01B NV</t>
  </si>
  <si>
    <t>0525141</t>
  </si>
  <si>
    <t>REGULADOR DE GAS 2KG/H 2000/01B (NOVO)</t>
  </si>
  <si>
    <t>2000/02 NV</t>
  </si>
  <si>
    <t>0525140</t>
  </si>
  <si>
    <t>REGULADOR DE GAS 2KG/H C/ MANG0,80M 2000/02 (NOVO)</t>
  </si>
  <si>
    <t>2000/03B NV</t>
  </si>
  <si>
    <t>0524822</t>
  </si>
  <si>
    <t>REGULADOR GAS 2KG/H P TUBO FLEXIVEL2000/03B (NOVO)</t>
  </si>
  <si>
    <t>2000/04B NV</t>
  </si>
  <si>
    <t>0524823</t>
  </si>
  <si>
    <t>REGULADOR GAS 2KG/H P TUBO DE COBRE2000/04B (NOVO)</t>
  </si>
  <si>
    <t>2000/05 NV</t>
  </si>
  <si>
    <t>0525153</t>
  </si>
  <si>
    <t>REG. DE GAS 2KG/H C/ MANG. 1,25M 2000/05 (NOVO)</t>
  </si>
  <si>
    <t>2000/05B NV</t>
  </si>
  <si>
    <t>0525142</t>
  </si>
  <si>
    <t>REG. DE GAS 2KG/H C/ MANG. 1,25M 2000/05B (NOVO)</t>
  </si>
  <si>
    <t>2000/06B NV</t>
  </si>
  <si>
    <t>0525143</t>
  </si>
  <si>
    <t>REG. DE GAS 2 KG/H COM MANOMETRO 2000/06B (NOVO)</t>
  </si>
  <si>
    <t>2001/01 NV</t>
  </si>
  <si>
    <t>0526257</t>
  </si>
  <si>
    <t>REGULADOR DE GAS DOMESTICO 2KG - 2001/01</t>
  </si>
  <si>
    <t>2001/02 NV</t>
  </si>
  <si>
    <t>0526397</t>
  </si>
  <si>
    <t xml:space="preserve">REGULADOR DE GAS  2KG/H C/ MANG. 0,8M  2001/02    </t>
  </si>
  <si>
    <t>2001/03 NV</t>
  </si>
  <si>
    <t>0526398</t>
  </si>
  <si>
    <t xml:space="preserve">REGULADOR DE GAS DOMESTICO 2KG/H ECO 2001/03      </t>
  </si>
  <si>
    <t>2001/04 NV</t>
  </si>
  <si>
    <t>0526399</t>
  </si>
  <si>
    <t xml:space="preserve">REGULADOR DE GAS DOMESTICO 2KG/H ECO 2001/04      </t>
  </si>
  <si>
    <t>2001/05 NV</t>
  </si>
  <si>
    <t>0526400</t>
  </si>
  <si>
    <t xml:space="preserve">REGULADOR DE GAS  2KG/H C/ MANG. 1,25M  2001/05   </t>
  </si>
  <si>
    <t xml:space="preserve">2001/06B       </t>
  </si>
  <si>
    <t>0526401</t>
  </si>
  <si>
    <t xml:space="preserve">REG. DE GAS DOMESTICO 2KG/H C/ MANOMETRO 2001/06B </t>
  </si>
  <si>
    <t>SEMI-IND</t>
  </si>
  <si>
    <t>5000 NV</t>
  </si>
  <si>
    <t>0524373</t>
  </si>
  <si>
    <t>REGULADOR DE 5 KG/H GLP - SEM CONEXAO 5000 (NOVO)</t>
  </si>
  <si>
    <t>7000 NV</t>
  </si>
  <si>
    <t>0524374</t>
  </si>
  <si>
    <t>REGULADOR DE 7 KG/H GLP - SEM CONEXAO 7000 (NOVO)</t>
  </si>
  <si>
    <t>5000 B NV</t>
  </si>
  <si>
    <t>0524824</t>
  </si>
  <si>
    <t>REGULADOR DE 5KG/H S/ CONEXAO BLISTER 5000B (NOVO)</t>
  </si>
  <si>
    <t>7000 B NV</t>
  </si>
  <si>
    <t>0524825</t>
  </si>
  <si>
    <t>REGULADOR DE 7KG/H S/ CONEXAO BLISTER 7000B (NOVO)</t>
  </si>
  <si>
    <t>IND.</t>
  </si>
  <si>
    <t>FH 2002 NV</t>
  </si>
  <si>
    <t>0525125</t>
  </si>
  <si>
    <t>REGULADOR INDUSTRIAL AMARELO 10KG/H FH 2002 (NOVO)</t>
  </si>
  <si>
    <t>FH 2003 NV</t>
  </si>
  <si>
    <t>0525126</t>
  </si>
  <si>
    <t>REGULADOR INDUSTRIAL LARANJA 15KG/H FH 2003 (NOVO)</t>
  </si>
  <si>
    <t>EXPORTAÇÃO</t>
  </si>
  <si>
    <t>0728/01F-EX P13</t>
  </si>
  <si>
    <t>0523024</t>
  </si>
  <si>
    <t xml:space="preserve">REGULADOR DE GAS 1KG/H  0728/01F - EX P13         </t>
  </si>
  <si>
    <t>0728/01 F -POOL</t>
  </si>
  <si>
    <t>0523023</t>
  </si>
  <si>
    <t xml:space="preserve">REGULADOR DE GAS 1KG/H  0728/01F - POOL           </t>
  </si>
  <si>
    <t>0728/02EX</t>
  </si>
  <si>
    <t>0508643</t>
  </si>
  <si>
    <t>REGULADOR DE GAS 1KG/H C/ MANG0,80M 0728/02 EX P13</t>
  </si>
  <si>
    <t>0728/02POLL</t>
  </si>
  <si>
    <t>0508644</t>
  </si>
  <si>
    <t>REGULADOR DE GAS 1KG/H C/ MANG 0,80M 0728/02 POOL</t>
  </si>
  <si>
    <t>0727/01 EX</t>
  </si>
  <si>
    <t>0525999</t>
  </si>
  <si>
    <t xml:space="preserve">REGULADOR DE GAS 1KG/H  0727/01F - EX P13         </t>
  </si>
  <si>
    <t>0727/01 POLL</t>
  </si>
  <si>
    <t>0526000</t>
  </si>
  <si>
    <t xml:space="preserve">REGULADOR DE GAS 1KG/H  0727/01F - POOL           </t>
  </si>
  <si>
    <t>0727/02 EX ABS</t>
  </si>
  <si>
    <t>0524708</t>
  </si>
  <si>
    <t>REGULADOR DE PRESSAO ABS DOM COM MANG EXP0727/02EX</t>
  </si>
  <si>
    <t>0727/02POOL ABS</t>
  </si>
  <si>
    <t>0524711</t>
  </si>
  <si>
    <t>REGULADOR DE PRESSAO ABS DOM COM MANG 0727/02POOL</t>
  </si>
  <si>
    <t>PAPAIZ</t>
  </si>
  <si>
    <t>904P2 PAPAIZ</t>
  </si>
  <si>
    <t>0526877</t>
  </si>
  <si>
    <t xml:space="preserve">REG. DE GÁS 1KG/H 904P2 </t>
  </si>
  <si>
    <t>904P2M08 PAPAIZ</t>
  </si>
  <si>
    <t>0527141</t>
  </si>
  <si>
    <t xml:space="preserve">REG. DE GÁS 1KG/H C/ MANG 0,80M 904P2M08 </t>
  </si>
  <si>
    <t>904P2/10 PAPAIZ</t>
  </si>
  <si>
    <t>0527142</t>
  </si>
  <si>
    <t xml:space="preserve">REG. DE GÁS 1KG/H P/ TUBO FLEXÍVEL 904P2/10 </t>
  </si>
  <si>
    <t>904P2/09 PAPAIZ</t>
  </si>
  <si>
    <t>0527143</t>
  </si>
  <si>
    <t xml:space="preserve">REG. DE GÁS 1KG/H P/ TUBO DE COBRE 904P2/09 </t>
  </si>
  <si>
    <t>904P2M125 PAPAIZ</t>
  </si>
  <si>
    <t>0527144</t>
  </si>
  <si>
    <t>REG. DE GÁS 1KG/H C/ MANG 1,25M 904P2M125</t>
  </si>
  <si>
    <t>904P2/06 PAPAIZ</t>
  </si>
  <si>
    <t>0527145</t>
  </si>
  <si>
    <t xml:space="preserve">REG. DE GÁS 1KG/H C/ MANÔMETRO 904P2/06 </t>
  </si>
  <si>
    <t>906P1 PAPAIZ</t>
  </si>
  <si>
    <t>0526875</t>
  </si>
  <si>
    <t xml:space="preserve">REG. DE GÁS 2KG/H 906P1 </t>
  </si>
  <si>
    <t>906P1M08 PAPAIZ</t>
  </si>
  <si>
    <t>0527146</t>
  </si>
  <si>
    <t xml:space="preserve">REG. DE GÁS 2KG/H C/ MANG 0,80M 906P1M08 </t>
  </si>
  <si>
    <t>906P10 PAPAIZ</t>
  </si>
  <si>
    <t>0527147</t>
  </si>
  <si>
    <t xml:space="preserve">REG. DE GÁS 2KG/H P/ TUBO FLEXÍVEL 906P10 </t>
  </si>
  <si>
    <t>906P09 PAPAIZ</t>
  </si>
  <si>
    <t>0527148</t>
  </si>
  <si>
    <t xml:space="preserve">REG. DE GÁS 2KG/H P/ TUBO DE COBRE 906P09 </t>
  </si>
  <si>
    <t>906P1M125PAPAIZ</t>
  </si>
  <si>
    <t>0527149</t>
  </si>
  <si>
    <t xml:space="preserve">REG. DE GAS 2KG/H C/ MANG 1,25M 906P1M125         </t>
  </si>
  <si>
    <t xml:space="preserve">906P06 PAPAIZ  </t>
  </si>
  <si>
    <t>0527150</t>
  </si>
  <si>
    <t xml:space="preserve">REG. DE GAS 2KG/H C/ MANOMETRO 906P06             </t>
  </si>
  <si>
    <t>ACESSÓRIOS.</t>
  </si>
  <si>
    <t>KIT MANG0,80 NV</t>
  </si>
  <si>
    <t>0524317</t>
  </si>
  <si>
    <t>KIT MANGUEIRA 0,8M (NOVO)</t>
  </si>
  <si>
    <t>0525133</t>
  </si>
  <si>
    <t>KIT MANGUEIRA 1,25M (NOVO)</t>
  </si>
  <si>
    <t>REGISTRO</t>
  </si>
  <si>
    <t>0204206</t>
  </si>
  <si>
    <t>Registro CORTA FOGO ® 1/2 NPT [M] x 1/2 NPT [M]  Pressao 7,0 BAR</t>
  </si>
  <si>
    <t>0204205</t>
  </si>
  <si>
    <t>Registro CORTA FOGO ® 1/2 NPT [M] x 3/8 TM Pressao 7,0 BAR</t>
  </si>
  <si>
    <t>VALVULA</t>
  </si>
  <si>
    <t>0204204</t>
  </si>
  <si>
    <t>Valvula esfera reta gas MxF 1/2</t>
  </si>
  <si>
    <t>TERMINAL</t>
  </si>
  <si>
    <t>0204202</t>
  </si>
  <si>
    <t xml:space="preserve">Terminal 1/2 BSP [F] x TM 3/8 </t>
  </si>
  <si>
    <t>0204201</t>
  </si>
  <si>
    <t xml:space="preserve">Terminal 1/2 NPT [M] x TM 3/8 </t>
  </si>
  <si>
    <t>EMENDA</t>
  </si>
  <si>
    <t>0204200</t>
  </si>
  <si>
    <t>Emenda multi uso TM 3/8</t>
  </si>
  <si>
    <t>0204199</t>
  </si>
  <si>
    <t>Terminal 3/8 TC x 3/8 TM</t>
  </si>
  <si>
    <t>ADAPTADOR</t>
  </si>
  <si>
    <t>0204198</t>
  </si>
  <si>
    <t>Adptador vertical p/ gas 1/2(M) c/ emenda 3/8</t>
  </si>
  <si>
    <t>0204197</t>
  </si>
  <si>
    <t>Adptador vertical p/ gas 1/2(F) c/ emenda 3/8</t>
  </si>
  <si>
    <t>0204196</t>
  </si>
  <si>
    <t xml:space="preserve">Adaptador 1/2 BSP [F]  x   aperto rapido 3/8 TM </t>
  </si>
  <si>
    <t>0204195</t>
  </si>
  <si>
    <t xml:space="preserve">Adaptador 1/2 BSP [M] x aperto rapido 3/8 TM </t>
  </si>
  <si>
    <t>0204194</t>
  </si>
  <si>
    <t>Adaptador de 1/2 NPT[F] x 3/8 TM duplo</t>
  </si>
  <si>
    <t>FLANGE</t>
  </si>
  <si>
    <t>0204193</t>
  </si>
  <si>
    <t xml:space="preserve">Flange leve para tubo de cobre 3/8 </t>
  </si>
  <si>
    <t>NIPLE</t>
  </si>
  <si>
    <t>0204192</t>
  </si>
  <si>
    <t>Niple 1/2</t>
  </si>
  <si>
    <t>PROLONGADOR</t>
  </si>
  <si>
    <t>0204191</t>
  </si>
  <si>
    <t xml:space="preserve">Mini prolongador 1/2 com sextavado interno </t>
  </si>
  <si>
    <t>KIT INSTALAÇÃO</t>
  </si>
  <si>
    <t>0204190</t>
  </si>
  <si>
    <t>Kit instalacao de fogao e cooktop 1,25m - NBR14955</t>
  </si>
  <si>
    <t>MANG FLEX</t>
  </si>
  <si>
    <t>0204189</t>
  </si>
  <si>
    <t>Ligacao flexivel gas 3/8"TM X 3/8"TM - 1,0m - NBR13419</t>
  </si>
  <si>
    <t>0204188</t>
  </si>
  <si>
    <t>Ligacao flexivel gas 3/8"TM X 3/8"TM - 1,25m - NBR13419</t>
  </si>
  <si>
    <t>0204187</t>
  </si>
  <si>
    <t>Ligacao flexivel gas 3/8"TM X 3/8"TM - 1,5m - NBR13419</t>
  </si>
  <si>
    <t>0204186</t>
  </si>
  <si>
    <t>Ligacao flexivel gas 1/2"(M) X 1/2"(F) - 1,0m - NBR14955</t>
  </si>
  <si>
    <t>0204185</t>
  </si>
  <si>
    <t>Ligacao flexivel gas 1/2"(M) X 1/2"(F) - 1,2m - NBR14955</t>
  </si>
  <si>
    <t>0204184</t>
  </si>
  <si>
    <t>Ligacao flexivel gas 1/2"(M) X 1/2"(F) - 1,5m - NBR14955</t>
  </si>
  <si>
    <r>
      <rPr>
        <sz val="9"/>
        <color theme="1"/>
        <rFont val="Calibri Light"/>
        <family val="2"/>
      </rPr>
      <t>KIT MANG1,25 NV</t>
    </r>
  </si>
  <si>
    <t>TABELA PREÇOS IMAR - CONDULETES</t>
  </si>
  <si>
    <t>LINHA 3/4</t>
  </si>
  <si>
    <t>CONDULETE X 3/4</t>
  </si>
  <si>
    <t>0527085</t>
  </si>
  <si>
    <t>CONDULETE MULTIPLO 3/4 TIPO X ALUMINIO</t>
  </si>
  <si>
    <t>CONDULETE L 3/4</t>
  </si>
  <si>
    <t>0527300</t>
  </si>
  <si>
    <t>CONDULETE MULTIPLO 3/4 TIPO L ALUMINIO</t>
  </si>
  <si>
    <t>CONDULETE LB 3/4</t>
  </si>
  <si>
    <t>0527381</t>
  </si>
  <si>
    <t>CONDULETE 3/4 TIPO LB ALUMINIO</t>
  </si>
  <si>
    <t>CONDULETE LL 3/4</t>
  </si>
  <si>
    <t>0527383</t>
  </si>
  <si>
    <t>CONDULETE 3/4 TIPO LL ALUMINIO</t>
  </si>
  <si>
    <t>CONDULETE LR 3/4</t>
  </si>
  <si>
    <t>0527382</t>
  </si>
  <si>
    <t>CONDULETE 3/4 TIPO LR ALUMINIO</t>
  </si>
  <si>
    <t>CONDULETE B 3/4</t>
  </si>
  <si>
    <t>0527384</t>
  </si>
  <si>
    <t>CONDULETE 3/4 TIPO B ALUMINIO</t>
  </si>
  <si>
    <t>CONDULETE C 3/4</t>
  </si>
  <si>
    <t>0527385</t>
  </si>
  <si>
    <t>CONDULETE 3/4 TIPO C ALUMINIO</t>
  </si>
  <si>
    <t>CONDULETE E 3/4</t>
  </si>
  <si>
    <t>0527386</t>
  </si>
  <si>
    <t>CONDULETE 3/4 TIPO E ALUMINIO</t>
  </si>
  <si>
    <t>CONDULETE T 3/4</t>
  </si>
  <si>
    <t>0527387</t>
  </si>
  <si>
    <t>CONDULETE 3/4 TIPO T ALUMINIO</t>
  </si>
  <si>
    <t>CONDULETE TB 3/4</t>
  </si>
  <si>
    <t>0527388</t>
  </si>
  <si>
    <t>CONDULETE 3/4 TIPO TB ALUMINIO</t>
  </si>
  <si>
    <t>TAMPA 3/4 CEGA</t>
  </si>
  <si>
    <t>0527090</t>
  </si>
  <si>
    <t>TAMPA CONDULETE 3/4 CEGA ALUMINIO</t>
  </si>
  <si>
    <t>TAMPA 3/4 1P R</t>
  </si>
  <si>
    <t>0527286</t>
  </si>
  <si>
    <t>TAMPA CONDULETE 3/4 1 POSTO REDONDO ALUMINIO</t>
  </si>
  <si>
    <t xml:space="preserve">TAMPA 3/4 1P </t>
  </si>
  <si>
    <t>0527086</t>
  </si>
  <si>
    <t>TAMPA CONDULETE 3/4 1 POSTO ALUMINIO</t>
  </si>
  <si>
    <t>TAMPA 3/4 2P</t>
  </si>
  <si>
    <t>0527389</t>
  </si>
  <si>
    <t>TAMPA CONDULETE 3/4 2 POSTOS ALUMINIO</t>
  </si>
  <si>
    <t>TAMPA 3/4 1P V</t>
  </si>
  <si>
    <t>0527287</t>
  </si>
  <si>
    <t>TAMPA CONDULETE 3/4 1 POSTO VERT. TOMADA ALUMINIO</t>
  </si>
  <si>
    <t>TAMPA 3/4 3P</t>
  </si>
  <si>
    <t>0527435</t>
  </si>
  <si>
    <t>TAMPA CONDULETE 3/4 3 POSTOS ALUMINIO</t>
  </si>
  <si>
    <t>TAMPA 3/4 2P AF</t>
  </si>
  <si>
    <t>0527437</t>
  </si>
  <si>
    <t>TAMPA CONDULETE 3/4 2 POSTOS AFASTADOS ALUMINIO</t>
  </si>
  <si>
    <t>TAMPA 3/4 1P RJ</t>
  </si>
  <si>
    <t>0527448</t>
  </si>
  <si>
    <t>TAMPA CONDULETE 3/4 1 POSTO RJ45 ALUMINIO</t>
  </si>
  <si>
    <t>TAMPA 3/4 2P RJ</t>
  </si>
  <si>
    <t>0527450</t>
  </si>
  <si>
    <t>TAMPA CONDULETE 3/4 2 POSTOS RJ45 ALUMINIO</t>
  </si>
  <si>
    <t>U. CONICO 3/4</t>
  </si>
  <si>
    <t>0527271</t>
  </si>
  <si>
    <t>CONECTOR UNIDUT CONICO 3/4 ALUMINIO</t>
  </si>
  <si>
    <t xml:space="preserve">U. RETO 3/4    </t>
  </si>
  <si>
    <t>0527390</t>
  </si>
  <si>
    <t xml:space="preserve">CONECTOR UNIDUT RETO 3/4 ALUMINIO                 </t>
  </si>
  <si>
    <t>TAMPAO 3/4</t>
  </si>
  <si>
    <t>0227278</t>
  </si>
  <si>
    <t xml:space="preserve">TAMPAO PARA CONDULETE 3/4                         </t>
  </si>
  <si>
    <t>LINHA 1"</t>
  </si>
  <si>
    <t>CONDULETE X 1"</t>
  </si>
  <si>
    <t>0527833</t>
  </si>
  <si>
    <t>CONDULETE MULTIPLO 1" TIPO X ALUMINIO</t>
  </si>
  <si>
    <t>CONDULETE L 1"</t>
  </si>
  <si>
    <t>0527964</t>
  </si>
  <si>
    <t>CONDULETE MULTIPLO 1" TIPO L ALUMINIO</t>
  </si>
  <si>
    <t>TAMPA 1" CEGA</t>
  </si>
  <si>
    <t>0527845</t>
  </si>
  <si>
    <t>TAMPA CONDULETE 1" CEGA ALUMINIO</t>
  </si>
  <si>
    <t>TAMPA 1" 1P R</t>
  </si>
  <si>
    <t>0527951</t>
  </si>
  <si>
    <t>TAMPA CONDULETE 1" 1 POSTO REDONDO ALUMINIO</t>
  </si>
  <si>
    <t xml:space="preserve">TAMPA 1" 1P </t>
  </si>
  <si>
    <t>0527953</t>
  </si>
  <si>
    <t>TAMPA CONDULETE 1" 1 POSTO ALUMINIO</t>
  </si>
  <si>
    <t>TAMPA 1" 2P</t>
  </si>
  <si>
    <t>0527954</t>
  </si>
  <si>
    <t>TAMPA CONDULETE 1" 2 POSTOS ALUMINIO</t>
  </si>
  <si>
    <t>TAMPA 1" 3P</t>
  </si>
  <si>
    <t>0527955</t>
  </si>
  <si>
    <t>TAMPA CONDULETE 1" 3 POSTOS ALUMINIO</t>
  </si>
  <si>
    <t>TAMPA 1" 1P V</t>
  </si>
  <si>
    <t>0527956</t>
  </si>
  <si>
    <t>TAMPA CONDULETE 1" 1 POSTO VERT. TOMADA ALUMINIO</t>
  </si>
  <si>
    <t>TAMPA 1" 1P RJ</t>
  </si>
  <si>
    <t>0527958</t>
  </si>
  <si>
    <t>TAMPA CONDULETE 1" 1 POSTO RJ45 ALUMINIO</t>
  </si>
  <si>
    <t>TAMPA 1" 2P RJ</t>
  </si>
  <si>
    <t>0527959</t>
  </si>
  <si>
    <t>TAMPA CONDULETE 1" 2 POSTOS RJ45 ALUMINIO</t>
  </si>
  <si>
    <t>U. CONICO 1"</t>
  </si>
  <si>
    <t>0527842</t>
  </si>
  <si>
    <t>CONECTOR UNIDUT CONICO 1" ALUMINIO</t>
  </si>
  <si>
    <t>U. RETO 1"</t>
  </si>
  <si>
    <t>0527961</t>
  </si>
  <si>
    <t xml:space="preserve">CONECTOR UNIDUT RETO 1" ALUMINIO                 </t>
  </si>
  <si>
    <t>TAMPAO 1"</t>
  </si>
  <si>
    <t xml:space="preserve">TAMPAO PARA CONDULETE 1"           </t>
  </si>
  <si>
    <t>n tem</t>
  </si>
  <si>
    <t>LINHA 3/4 - BLACK FOSCO</t>
  </si>
  <si>
    <t>0527987</t>
  </si>
  <si>
    <t>CONDULETE MULTIPLO 3/4 TIPO X ALUMINIO - PRETO FOSCO</t>
  </si>
  <si>
    <t>0527988</t>
  </si>
  <si>
    <t>CONDULETE MULTIPLO 3/4 TIPO L ALUMINIO - PRETO FOSCO</t>
  </si>
  <si>
    <t xml:space="preserve">TAMPA 3/4´´ 1P </t>
  </si>
  <si>
    <t>0527989</t>
  </si>
  <si>
    <t>TAMPA CONDULETE 3/4 1 POSTO ALUMINIO - PRETO FOSCO</t>
  </si>
  <si>
    <t>TAMPA 3/4´´ CEGA</t>
  </si>
  <si>
    <t>0527990</t>
  </si>
  <si>
    <t>TAMPA CONDULETE 3/4 CEGA ALUMINIO - PRETO FOSCO</t>
  </si>
  <si>
    <t>TAMPA 3/4´´ 1P R</t>
  </si>
  <si>
    <t>0527991</t>
  </si>
  <si>
    <t>TAMPA CONDULETE 3/4 1 POSTO REDONDO ALUMINIO - PRETO FOSCO</t>
  </si>
  <si>
    <t>TAMPA 3/4´´ 1P V</t>
  </si>
  <si>
    <t>0527992</t>
  </si>
  <si>
    <t>TAMPA CONDULETE 3/4 1 POSTO VERT. TOMADA ALUMINIO - PRETO FOSCO</t>
  </si>
  <si>
    <t>0527993</t>
  </si>
  <si>
    <t>TAMPA CONDULETE 3/4 2 POSTOS ALUMINIO - PRETO FOSCO</t>
  </si>
  <si>
    <t>TAMPA 3/4´´ 3P</t>
  </si>
  <si>
    <t>0527994</t>
  </si>
  <si>
    <t>TAMPA CONDULETE 3/4 3 POSTOS ALUMINIO - PRETO FOSCO</t>
  </si>
  <si>
    <t>0527995</t>
  </si>
  <si>
    <t>TAMPA CONDULETE 3/4 2 POSTOS AFASTADOS ALUMINIO - PRETO FOSCO</t>
  </si>
  <si>
    <t>TAMPA 3/4´´ 1P RJ</t>
  </si>
  <si>
    <t>0527996</t>
  </si>
  <si>
    <t>TAMPA CONDULETE 3/4 1 POSTO RJ45 ALUMINIO - PRETO FOSCO</t>
  </si>
  <si>
    <t>TAMPA 3/4´´ 2P RJ</t>
  </si>
  <si>
    <t>0527997</t>
  </si>
  <si>
    <t>TAMPA CONDULETE 3/4 2 POSTOS RJ45 ALUMINIO - PRETO FOSCO</t>
  </si>
  <si>
    <t>U. CONICO 3/4´´</t>
  </si>
  <si>
    <t>0527998</t>
  </si>
  <si>
    <t>CONECTOR UNIDUT CONICO 3/4 ALUMINIO - PRETO FOSCO</t>
  </si>
  <si>
    <t>U. RETO 3/4´´</t>
  </si>
  <si>
    <t>0527999</t>
  </si>
  <si>
    <t>CONECTOR UNIDUT RETO 3/4 ALUMINIO - PRETO FOSCO</t>
  </si>
  <si>
    <t>TAMPAO 3/4´´</t>
  </si>
  <si>
    <t>0528000</t>
  </si>
  <si>
    <t xml:space="preserve">TAMPAO PARA CONDULETE 3/4 - PRETO FOSCO                         </t>
  </si>
  <si>
    <t>A (+ 35k)</t>
  </si>
  <si>
    <t>B (15 a 35k)</t>
  </si>
  <si>
    <t>C (até 15k)</t>
  </si>
  <si>
    <t>A (+10k)</t>
  </si>
  <si>
    <t>B (5 a 10k)</t>
  </si>
  <si>
    <t>C (até 5k)</t>
  </si>
  <si>
    <t>A (+4K)</t>
  </si>
  <si>
    <t>B (1 a 4k)</t>
  </si>
  <si>
    <t>C (até 1k)</t>
  </si>
  <si>
    <t>RVS</t>
  </si>
  <si>
    <t>0515395</t>
  </si>
  <si>
    <t>0202434</t>
  </si>
  <si>
    <t>Registro Forno C/ Válv. Seg. Ge - Gourmet 4Q</t>
  </si>
  <si>
    <t>0506421</t>
  </si>
  <si>
    <t>0202435</t>
  </si>
  <si>
    <t>Registro Forno C/ Válvula De Seg. Ge</t>
  </si>
  <si>
    <t>0508426</t>
  </si>
  <si>
    <t>0202436</t>
  </si>
  <si>
    <t>0517382</t>
  </si>
  <si>
    <t>0202437</t>
  </si>
  <si>
    <t>Registro Forno Rvs - Engate Rápido 90º (Ge)</t>
  </si>
  <si>
    <t>0505965</t>
  </si>
  <si>
    <t>0202438</t>
  </si>
  <si>
    <t>0519902</t>
  </si>
  <si>
    <t>0203006</t>
  </si>
  <si>
    <t>Registro Forno C/ Válvula De Segurança</t>
  </si>
  <si>
    <t>0522379</t>
  </si>
  <si>
    <t>0203007</t>
  </si>
  <si>
    <t>0520197</t>
  </si>
  <si>
    <t>0203011</t>
  </si>
  <si>
    <t>0521604</t>
  </si>
  <si>
    <t>0203017</t>
  </si>
  <si>
    <t>Registro Forno C/ Válvula De Segurança 50°</t>
  </si>
  <si>
    <t>0521926</t>
  </si>
  <si>
    <t>0203008</t>
  </si>
  <si>
    <t>0523097</t>
  </si>
  <si>
    <t>0203009</t>
  </si>
  <si>
    <t>0518963</t>
  </si>
  <si>
    <t>0202439</t>
  </si>
  <si>
    <t>Registro Super Industrial 2P  (Ge)</t>
  </si>
  <si>
    <t>0520193</t>
  </si>
  <si>
    <t>0202440</t>
  </si>
  <si>
    <t>Registro Ramal Cg Super</t>
  </si>
  <si>
    <t>0511243</t>
  </si>
  <si>
    <t>0202441</t>
  </si>
  <si>
    <t>Registro Ramal Cg (Super)</t>
  </si>
  <si>
    <t>0520330</t>
  </si>
  <si>
    <t>0202442</t>
  </si>
  <si>
    <t>Registro Ramal Super Cg (Brastemp Antigo)</t>
  </si>
  <si>
    <t>0515392</t>
  </si>
  <si>
    <t>0202443</t>
  </si>
  <si>
    <t>Registro Ramal Super  Ge</t>
  </si>
  <si>
    <t>0505349</t>
  </si>
  <si>
    <t>0203014</t>
  </si>
  <si>
    <t>Registro Ramal Super  Ge 5014</t>
  </si>
  <si>
    <t>0508288</t>
  </si>
  <si>
    <t>0202444</t>
  </si>
  <si>
    <t>Registro Ramal Ge C/T - 60 (Super)</t>
  </si>
  <si>
    <t>0508289</t>
  </si>
  <si>
    <t>0202445</t>
  </si>
  <si>
    <t>Registro Ramal Ge S/T - 60 (Super)</t>
  </si>
  <si>
    <t>0520350</t>
  </si>
  <si>
    <t>0202446</t>
  </si>
  <si>
    <t>Registro Ramal Super Cavalete 5/8</t>
  </si>
  <si>
    <t>0523356</t>
  </si>
  <si>
    <t>0202447</t>
  </si>
  <si>
    <t>Registro Ramal Cav. - Engate Rápido Glp/Gn</t>
  </si>
  <si>
    <t>0506423</t>
  </si>
  <si>
    <t>0202448</t>
  </si>
  <si>
    <t>Registro Ramalsuper  Cg  Ge</t>
  </si>
  <si>
    <t>0520744</t>
  </si>
  <si>
    <t>0202449</t>
  </si>
  <si>
    <t>Registro Ramal Super Cav. 5/8 - Eng. Rápido Ø 5.0</t>
  </si>
  <si>
    <t>0523413</t>
  </si>
  <si>
    <t>0202450</t>
  </si>
  <si>
    <t>Registro Ramal Super  Cg</t>
  </si>
  <si>
    <t>0523408</t>
  </si>
  <si>
    <t>0202451</t>
  </si>
  <si>
    <t>Registro Forno Super  5P</t>
  </si>
  <si>
    <t>0506586</t>
  </si>
  <si>
    <t>0202452</t>
  </si>
  <si>
    <t>Registro Ramal Super Cg</t>
  </si>
  <si>
    <t>0506924</t>
  </si>
  <si>
    <t>0202453</t>
  </si>
  <si>
    <t>Registro Ramalsuper  Cg  Gn</t>
  </si>
  <si>
    <t>0507100</t>
  </si>
  <si>
    <t>0203019</t>
  </si>
  <si>
    <t>REGISTRO RAMAL SUPER  COM TRAVA  4153</t>
  </si>
  <si>
    <t>0511870</t>
  </si>
  <si>
    <t>0203027</t>
  </si>
  <si>
    <t xml:space="preserve">REGISTRO RAMAL SUPER  CG                 </t>
  </si>
  <si>
    <t>0525518</t>
  </si>
  <si>
    <t>0203005</t>
  </si>
  <si>
    <t>REGISTRO RAMAL SUPER CAV. 5/8  SAIDA Ø5 (ANTIGO 5387)</t>
  </si>
  <si>
    <t>0525805</t>
  </si>
  <si>
    <t>0203023</t>
  </si>
  <si>
    <t xml:space="preserve">REGISTRO RAMAL SUPER CG  50157                    </t>
  </si>
  <si>
    <t>0521639</t>
  </si>
  <si>
    <t>0202454</t>
  </si>
  <si>
    <t>Registro Vertical Cooktop C/ By-Pass  "Sr"</t>
  </si>
  <si>
    <t>0522088</t>
  </si>
  <si>
    <t>0202455</t>
  </si>
  <si>
    <t>Registro Cooktop C/ By Pass - Semi Rápido</t>
  </si>
  <si>
    <t>0514468</t>
  </si>
  <si>
    <t>0202456</t>
  </si>
  <si>
    <t>Registro Cooktop Vertical Ge</t>
  </si>
  <si>
    <t>0525665</t>
  </si>
  <si>
    <t>0203012</t>
  </si>
  <si>
    <t>REGISTRO COOKTOP ROSCA</t>
  </si>
  <si>
    <t>0524671</t>
  </si>
  <si>
    <t>0203021</t>
  </si>
  <si>
    <t>REGISTRO COOKTOP ENG. RÁPIDO</t>
  </si>
  <si>
    <t>COOKTOP</t>
  </si>
  <si>
    <t>0524453</t>
  </si>
  <si>
    <t>0202896</t>
  </si>
  <si>
    <t>ESPALHADOR "SR" ALIVIADO CÓDIGO ARIM 0524453</t>
  </si>
  <si>
    <t>0524456</t>
  </si>
  <si>
    <t>0202897</t>
  </si>
  <si>
    <t>ESPALHADOR "R" ALIVIADO CÓDIGO ARIM 0524456</t>
  </si>
  <si>
    <t>0525507</t>
  </si>
  <si>
    <t>0202898</t>
  </si>
  <si>
    <t>CAMARA RÁPIDA "0,88" - GLP_NF - CÓDIGO ARIM 0525507</t>
  </si>
  <si>
    <t>0525501</t>
  </si>
  <si>
    <t>0202899</t>
  </si>
  <si>
    <t>CAMARA SEMI-RÁPIDA "0,66" - GLP_NF - CÓDIGO ARIM 0525501</t>
  </si>
  <si>
    <t>0524525</t>
  </si>
  <si>
    <t>0202900</t>
  </si>
  <si>
    <t>CAPA “R” ESMALTADA BRILHANTE- CÓDIGO ARIM 0524525</t>
  </si>
  <si>
    <t>0524524</t>
  </si>
  <si>
    <t>0202901</t>
  </si>
  <si>
    <t>CAPA “SR” ESMALTADA BRILHANTE- CÓDIGO ARIM 0524524</t>
  </si>
  <si>
    <t>0525609</t>
  </si>
  <si>
    <t>0202902</t>
  </si>
  <si>
    <t>CAPA “R” ESMALTADA MATTE- CÓDIGO ARIM 0525609</t>
  </si>
  <si>
    <t>0525608</t>
  </si>
  <si>
    <t>0202903</t>
  </si>
  <si>
    <t>CAPA “SR” ESMALTADA MATTE- CÓDIGO ARIM 0525608</t>
  </si>
  <si>
    <t>0219181</t>
  </si>
  <si>
    <t>0202904</t>
  </si>
  <si>
    <t>INJETOR TIPO "A" 0,66  (GLP) - CÓDIGO ARIM 0219181</t>
  </si>
  <si>
    <t>0219182</t>
  </si>
  <si>
    <t>0202905</t>
  </si>
  <si>
    <t>INJETOR TIPO "A"  0,88 (GLP) - CÓDIGO ARIM 0219182</t>
  </si>
  <si>
    <t>0219184</t>
  </si>
  <si>
    <t>0202906</t>
  </si>
  <si>
    <t>INJETOR TIPO "B" 0,92  (GN) - CÓDIGO ARIM 0219184</t>
  </si>
  <si>
    <t>0222078</t>
  </si>
  <si>
    <t>0202907</t>
  </si>
  <si>
    <t>INJETOR TIPO "C" 1,35 (GN) - CÓDIGO ARIM 0222078</t>
  </si>
  <si>
    <t xml:space="preserve">0204818        </t>
  </si>
  <si>
    <t xml:space="preserve">REGISTRO VALV. SEGURANCA CODIGO ARIM 0507285                 </t>
  </si>
  <si>
    <t xml:space="preserve">0203010        </t>
  </si>
  <si>
    <t xml:space="preserve">REGISTRO VALV. SEGURANCA CODIGO ARIM 0517382                 </t>
  </si>
  <si>
    <t xml:space="preserve">0203016        </t>
  </si>
  <si>
    <t xml:space="preserve">REGISTRO VALV. SEGURANCA CODIGO ARIM 0521927                 </t>
  </si>
  <si>
    <t xml:space="preserve">0205006        </t>
  </si>
  <si>
    <t xml:space="preserve">CAPA EXTERNA TCCF3INJ COD. ARIM 0223251                      </t>
  </si>
  <si>
    <t xml:space="preserve">0205007        </t>
  </si>
  <si>
    <t xml:space="preserve">CAPA QUEIMADOR TCCF3INJ E AUXILIAR COD. ARIM 02232           </t>
  </si>
  <si>
    <t xml:space="preserve">0204057        </t>
  </si>
  <si>
    <t xml:space="preserve">ESPALHADOR "R"  CODIGO ARIM 0523050                          </t>
  </si>
  <si>
    <t xml:space="preserve">0204056        </t>
  </si>
  <si>
    <t xml:space="preserve">ESPALHADOR "SR"  CODIGO ARIM 0523053                         </t>
  </si>
  <si>
    <t xml:space="preserve">0205004        </t>
  </si>
  <si>
    <t xml:space="preserve">ESPALHADOR TRIPLA CHAMA COD. ARIM 0525751                    </t>
  </si>
  <si>
    <t xml:space="preserve">0205005        </t>
  </si>
  <si>
    <t xml:space="preserve">MONTAGEM  DA CAMARA TCCF3I - GLP COD. ARIM 0525789           </t>
  </si>
  <si>
    <t xml:space="preserve">0203013        </t>
  </si>
  <si>
    <t xml:space="preserve">REGISTRO FORNO CODIGO ARIM 0506629                           </t>
  </si>
  <si>
    <t xml:space="preserve">0203025        </t>
  </si>
  <si>
    <t xml:space="preserve">REGISTRO FORNO CODIGO ARIM 0519967                           </t>
  </si>
  <si>
    <t xml:space="preserve">0204425        </t>
  </si>
  <si>
    <t xml:space="preserve">REGISTRO RAMAL SUPER CODIGO ARIM 0505445                     </t>
  </si>
  <si>
    <t xml:space="preserve">0203015        </t>
  </si>
  <si>
    <t xml:space="preserve">REGISTRO RAMAL SUPER CODIGO ARIM 0518978                     </t>
  </si>
  <si>
    <t xml:space="preserve">0203022        </t>
  </si>
  <si>
    <t xml:space="preserve">REGISTRO RAMAL SUPER CODIGO ARIM 0515398                     </t>
  </si>
  <si>
    <t xml:space="preserve">0203018        </t>
  </si>
  <si>
    <t xml:space="preserve">REGISTRO RAMAL SUPER CODIGO ARIM 0520633                     </t>
  </si>
  <si>
    <t xml:space="preserve">0204426        </t>
  </si>
  <si>
    <t xml:space="preserve">REGISTRO RAMAL SUPER CODIGO ARIM 0522801                     </t>
  </si>
  <si>
    <t xml:space="preserve">0203999        </t>
  </si>
  <si>
    <t xml:space="preserve">REGISTRO RAMAL SUPER CODIGO ARIM 0524152                     </t>
  </si>
  <si>
    <t xml:space="preserve">0203020        </t>
  </si>
  <si>
    <t xml:space="preserve">REGISTRO RAMAL SUPER CODIGO ARIM 0524573                     </t>
  </si>
  <si>
    <t xml:space="preserve">REGISTRO RAMAL SUPER INDUSTRIAL ROSCA 1/8"                   </t>
  </si>
  <si>
    <t xml:space="preserve">0204001        </t>
  </si>
  <si>
    <t xml:space="preserve">REGISTRO VERTICAL COOKTOP ARIM 0519943                       </t>
  </si>
  <si>
    <t xml:space="preserve">0203971        </t>
  </si>
  <si>
    <t xml:space="preserve">REGISTRO VERTICAL COOKTOP ARIM 0525372                       </t>
  </si>
  <si>
    <t xml:space="preserve">0203026        </t>
  </si>
  <si>
    <t xml:space="preserve">REGISTRO VERTICAL COOKTOP ARIM 052554                        </t>
  </si>
  <si>
    <t xml:space="preserve">0205008        </t>
  </si>
  <si>
    <t xml:space="preserve">REGISTRO VERTICAL COOKTOP COD. ARIM 0523345                  </t>
  </si>
  <si>
    <t xml:space="preserve">0205009        </t>
  </si>
  <si>
    <t xml:space="preserve">REGISTRO VERTICAL COOKTOP COD. ARIM 0523346                  </t>
  </si>
  <si>
    <t xml:space="preserve">0205010        </t>
  </si>
  <si>
    <t xml:space="preserve">REGISTRO VERTICAL COOKTOP COD. ARIM 0523347                  </t>
  </si>
  <si>
    <t xml:space="preserve">0205462        </t>
  </si>
  <si>
    <t xml:space="preserve">REGISTRO VERTICAL COOKTOP COD. ARIM 0524713                  </t>
  </si>
  <si>
    <t xml:space="preserve">0205012        </t>
  </si>
  <si>
    <t xml:space="preserve">REGISTRO VERTICAL COOKTOP COD. ARIM 0525286                  </t>
  </si>
  <si>
    <t>COD. ARIM</t>
  </si>
  <si>
    <t>RAMAL ROSCA</t>
  </si>
  <si>
    <t>RAMAL CAVALETE</t>
  </si>
  <si>
    <t>VERTICAL</t>
  </si>
  <si>
    <t>TABELA PREÇOS IMAR REGISTROS, RAMAL E COOKTOP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</si>
</sst>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R$&quot;\ * #,##0.00_-;\-&quot;R$&quot;\ * #,##0.00_-;_-&quot;R$&quot;\ * &quot;-&quot;??_-;_-@_-"/>
    <numFmt numFmtId="164" formatCode="&quot;R$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10"/>
      <color rgb="FF2907B9"/>
      <name val="Arial Black"/>
      <family val="2"/>
    </font>
    <font>
      <b/>
      <i/>
      <sz val="14"/>
      <color rgb="FF2907B9"/>
      <name val="Arial Black"/>
      <family val="2"/>
    </font>
    <font>
      <b/>
      <sz val="16"/>
      <color theme="1"/>
      <name val="Calibri"/>
      <family val="2"/>
    </font>
    <font>
      <b/>
      <sz val="10"/>
      <color theme="1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sz val="9"/>
      <color theme="1"/>
      <name val="Calibri"/>
      <family val="2"/>
      <scheme val="minor"/>
    </font>
    <font>
      <sz val="9"/>
      <color theme="1"/>
      <name val="Calibri Light"/>
      <family val="2"/>
    </font>
    <font>
      <b/>
      <i/>
      <sz val="9"/>
      <color rgb="FF2907B9"/>
      <name val="Arial Black"/>
      <family val="2"/>
    </font>
    <font>
      <b/>
      <i/>
      <sz val="13"/>
      <color rgb="FF366092"/>
      <name val="Arial Black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b/>
      <i/>
      <sz val="10"/>
      <color theme="4" tint="-0.249977111117893"/>
      <name val="Arial Black"/>
      <family val="2"/>
    </font>
    <font>
      <sz val="11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5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5" fillId="0" borderId="0" applyFont="0" applyFill="0" applyBorder="0" applyAlignment="0" applyProtection="0"/>
  </cellStyleXfs>
  <cellXfs count="158">
    <xf numFmtId="0" fontId="0" fillId="0" borderId="0" xfId="0"/>
    <xf numFmtId="0" fontId="1" fillId="0" borderId="1" xfId="0" applyFont="1" applyBorder="1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10" fontId="1" fillId="0" borderId="0" xfId="0" applyNumberFormat="1" applyFont="1"/>
    <xf numFmtId="0" fontId="1" fillId="0" borderId="0" xfId="0" applyFont="1"/>
    <xf numFmtId="0" fontId="0" fillId="0" borderId="0" xfId="0" applyFont="1" applyAlignment="1"/>
    <xf numFmtId="0" fontId="7" fillId="0" borderId="7" xfId="0" applyFont="1" applyBorder="1"/>
    <xf numFmtId="0" fontId="7" fillId="0" borderId="8" xfId="0" quotePrefix="1" applyFont="1" applyBorder="1" applyAlignment="1">
      <alignment horizontal="right"/>
    </xf>
    <xf numFmtId="0" fontId="7" fillId="0" borderId="8" xfId="0" applyFont="1" applyBorder="1"/>
    <xf numFmtId="0" fontId="7" fillId="0" borderId="9" xfId="0" applyFont="1" applyBorder="1" applyAlignment="1">
      <alignment horizontal="center"/>
    </xf>
    <xf numFmtId="164" fontId="7" fillId="0" borderId="0" xfId="0" applyNumberFormat="1" applyFont="1"/>
    <xf numFmtId="10" fontId="7" fillId="0" borderId="0" xfId="0" applyNumberFormat="1" applyFont="1"/>
    <xf numFmtId="0" fontId="7" fillId="0" borderId="0" xfId="0" applyFont="1"/>
    <xf numFmtId="0" fontId="8" fillId="0" borderId="0" xfId="0" applyFont="1" applyAlignment="1"/>
    <xf numFmtId="0" fontId="7" fillId="0" borderId="11" xfId="0" applyFont="1" applyBorder="1"/>
    <xf numFmtId="0" fontId="7" fillId="0" borderId="12" xfId="0" quotePrefix="1" applyFont="1" applyBorder="1" applyAlignment="1">
      <alignment horizontal="right"/>
    </xf>
    <xf numFmtId="0" fontId="7" fillId="0" borderId="12" xfId="0" applyFont="1" applyBorder="1"/>
    <xf numFmtId="0" fontId="7" fillId="0" borderId="13" xfId="0" applyFont="1" applyBorder="1" applyAlignment="1">
      <alignment horizontal="center"/>
    </xf>
    <xf numFmtId="0" fontId="7" fillId="0" borderId="15" xfId="0" quotePrefix="1" applyFont="1" applyBorder="1" applyAlignment="1">
      <alignment horizontal="right"/>
    </xf>
    <xf numFmtId="0" fontId="7" fillId="0" borderId="16" xfId="0" applyFont="1" applyBorder="1" applyAlignment="1">
      <alignment horizontal="center"/>
    </xf>
    <xf numFmtId="0" fontId="7" fillId="0" borderId="15" xfId="0" applyFont="1" applyBorder="1" applyAlignment="1">
      <alignment vertical="center"/>
    </xf>
    <xf numFmtId="0" fontId="7" fillId="0" borderId="17" xfId="0" applyFont="1" applyBorder="1"/>
    <xf numFmtId="0" fontId="7" fillId="0" borderId="18" xfId="0" quotePrefix="1" applyFont="1" applyBorder="1" applyAlignment="1">
      <alignment horizontal="right"/>
    </xf>
    <xf numFmtId="0" fontId="1" fillId="0" borderId="0" xfId="0" applyFont="1" applyAlignment="1">
      <alignment vertical="center"/>
    </xf>
    <xf numFmtId="10" fontId="1" fillId="0" borderId="0" xfId="0" applyNumberFormat="1" applyFont="1" applyAlignment="1">
      <alignment vertical="center"/>
    </xf>
    <xf numFmtId="0" fontId="0" fillId="0" borderId="0" xfId="0" applyFont="1" applyAlignment="1">
      <alignment vertical="center"/>
    </xf>
    <xf numFmtId="0" fontId="10" fillId="0" borderId="2" xfId="0" applyFont="1" applyBorder="1" applyAlignment="1">
      <alignment horizontal="center" vertical="center"/>
    </xf>
    <xf numFmtId="0" fontId="7" fillId="0" borderId="22" xfId="0" applyFont="1" applyBorder="1"/>
    <xf numFmtId="0" fontId="7" fillId="0" borderId="22" xfId="0" quotePrefix="1" applyFont="1" applyBorder="1" applyAlignment="1">
      <alignment horizontal="right"/>
    </xf>
    <xf numFmtId="0" fontId="7" fillId="0" borderId="22" xfId="0" applyFont="1" applyBorder="1" applyAlignment="1">
      <alignment horizontal="center"/>
    </xf>
    <xf numFmtId="164" fontId="6" fillId="2" borderId="22" xfId="0" applyNumberFormat="1" applyFont="1" applyFill="1" applyBorder="1" applyAlignment="1">
      <alignment horizontal="center" vertical="center"/>
    </xf>
    <xf numFmtId="0" fontId="7" fillId="0" borderId="22" xfId="0" applyFont="1" applyBorder="1" applyAlignment="1">
      <alignment vertical="center"/>
    </xf>
    <xf numFmtId="0" fontId="7" fillId="0" borderId="22" xfId="0" quotePrefix="1" applyFont="1" applyBorder="1" applyAlignment="1">
      <alignment horizontal="right" vertical="center"/>
    </xf>
    <xf numFmtId="0" fontId="7" fillId="0" borderId="22" xfId="0" applyFont="1" applyBorder="1" applyAlignment="1">
      <alignment horizontal="center" vertical="center"/>
    </xf>
    <xf numFmtId="0" fontId="7" fillId="0" borderId="22" xfId="0" applyFont="1" applyBorder="1" applyAlignment="1">
      <alignment horizontal="left" vertical="center"/>
    </xf>
    <xf numFmtId="0" fontId="8" fillId="0" borderId="0" xfId="0" applyFont="1"/>
    <xf numFmtId="0" fontId="10" fillId="0" borderId="3" xfId="0" applyFont="1" applyBorder="1" applyAlignment="1">
      <alignment vertical="center"/>
    </xf>
    <xf numFmtId="12" fontId="5" fillId="2" borderId="30" xfId="0" applyNumberFormat="1" applyFont="1" applyFill="1" applyBorder="1" applyAlignment="1">
      <alignment horizontal="center" vertical="center"/>
    </xf>
    <xf numFmtId="12" fontId="5" fillId="2" borderId="29" xfId="0" applyNumberFormat="1" applyFont="1" applyFill="1" applyBorder="1" applyAlignment="1">
      <alignment horizontal="center" vertical="center"/>
    </xf>
    <xf numFmtId="12" fontId="5" fillId="2" borderId="31" xfId="0" applyNumberFormat="1" applyFont="1" applyFill="1" applyBorder="1" applyAlignment="1">
      <alignment horizontal="center" vertical="center"/>
    </xf>
    <xf numFmtId="0" fontId="7" fillId="0" borderId="27" xfId="0" applyFont="1" applyBorder="1"/>
    <xf numFmtId="0" fontId="7" fillId="0" borderId="27" xfId="0" quotePrefix="1" applyFont="1" applyBorder="1" applyAlignment="1">
      <alignment horizontal="right"/>
    </xf>
    <xf numFmtId="0" fontId="7" fillId="0" borderId="27" xfId="0" applyFont="1" applyBorder="1" applyAlignment="1">
      <alignment horizontal="center"/>
    </xf>
    <xf numFmtId="164" fontId="6" fillId="2" borderId="27" xfId="0" applyNumberFormat="1" applyFont="1" applyFill="1" applyBorder="1" applyAlignment="1">
      <alignment horizontal="center" vertical="center"/>
    </xf>
    <xf numFmtId="164" fontId="6" fillId="2" borderId="28" xfId="0" applyNumberFormat="1" applyFont="1" applyFill="1" applyBorder="1" applyAlignment="1">
      <alignment horizontal="center" vertical="center"/>
    </xf>
    <xf numFmtId="164" fontId="6" fillId="2" borderId="36" xfId="0" applyNumberFormat="1" applyFont="1" applyFill="1" applyBorder="1" applyAlignment="1">
      <alignment horizontal="center" vertical="center"/>
    </xf>
    <xf numFmtId="0" fontId="7" fillId="0" borderId="30" xfId="0" applyFont="1" applyBorder="1"/>
    <xf numFmtId="0" fontId="7" fillId="0" borderId="30" xfId="0" quotePrefix="1" applyFont="1" applyBorder="1" applyAlignment="1">
      <alignment horizontal="right"/>
    </xf>
    <xf numFmtId="0" fontId="7" fillId="0" borderId="30" xfId="0" applyFont="1" applyBorder="1" applyAlignment="1">
      <alignment horizontal="center"/>
    </xf>
    <xf numFmtId="164" fontId="6" fillId="2" borderId="30" xfId="0" applyNumberFormat="1" applyFont="1" applyFill="1" applyBorder="1" applyAlignment="1">
      <alignment horizontal="center" vertical="center"/>
    </xf>
    <xf numFmtId="164" fontId="6" fillId="2" borderId="31" xfId="0" applyNumberFormat="1" applyFont="1" applyFill="1" applyBorder="1" applyAlignment="1">
      <alignment horizontal="center" vertical="center"/>
    </xf>
    <xf numFmtId="0" fontId="7" fillId="0" borderId="27" xfId="0" applyFont="1" applyBorder="1" applyAlignment="1">
      <alignment vertical="center"/>
    </xf>
    <xf numFmtId="0" fontId="7" fillId="0" borderId="27" xfId="0" quotePrefix="1" applyFont="1" applyBorder="1" applyAlignment="1">
      <alignment horizontal="right" vertical="center"/>
    </xf>
    <xf numFmtId="0" fontId="7" fillId="0" borderId="27" xfId="0" applyFont="1" applyBorder="1" applyAlignment="1">
      <alignment horizontal="center" vertical="center"/>
    </xf>
    <xf numFmtId="0" fontId="7" fillId="0" borderId="30" xfId="0" applyFont="1" applyBorder="1" applyAlignment="1">
      <alignment vertical="center"/>
    </xf>
    <xf numFmtId="0" fontId="7" fillId="0" borderId="30" xfId="0" quotePrefix="1" applyFont="1" applyBorder="1" applyAlignment="1">
      <alignment horizontal="right" vertical="center"/>
    </xf>
    <xf numFmtId="0" fontId="7" fillId="0" borderId="30" xfId="0" applyFont="1" applyBorder="1" applyAlignment="1">
      <alignment horizontal="center" vertical="center"/>
    </xf>
    <xf numFmtId="0" fontId="7" fillId="0" borderId="27" xfId="0" applyFont="1" applyBorder="1" applyAlignment="1">
      <alignment horizontal="left" vertical="center"/>
    </xf>
    <xf numFmtId="0" fontId="14" fillId="0" borderId="2" xfId="0" applyFont="1" applyBorder="1" applyAlignment="1">
      <alignment horizontal="right" vertical="center"/>
    </xf>
    <xf numFmtId="12" fontId="5" fillId="2" borderId="38" xfId="0" applyNumberFormat="1" applyFont="1" applyFill="1" applyBorder="1" applyAlignment="1">
      <alignment horizontal="center" vertical="center"/>
    </xf>
    <xf numFmtId="12" fontId="5" fillId="2" borderId="39" xfId="0" applyNumberFormat="1" applyFont="1" applyFill="1" applyBorder="1" applyAlignment="1">
      <alignment horizontal="center" vertical="center"/>
    </xf>
    <xf numFmtId="12" fontId="5" fillId="2" borderId="40" xfId="0" applyNumberFormat="1" applyFont="1" applyFill="1" applyBorder="1" applyAlignment="1">
      <alignment horizontal="center" vertical="center"/>
    </xf>
    <xf numFmtId="0" fontId="8" fillId="0" borderId="35" xfId="0" quotePrefix="1" applyFont="1" applyBorder="1" applyAlignment="1">
      <alignment horizontal="center" vertical="center"/>
    </xf>
    <xf numFmtId="0" fontId="8" fillId="0" borderId="22" xfId="0" applyFont="1" applyBorder="1" applyAlignment="1">
      <alignment vertical="center"/>
    </xf>
    <xf numFmtId="0" fontId="16" fillId="0" borderId="22" xfId="0" applyFont="1" applyBorder="1" applyAlignment="1">
      <alignment horizontal="right" vertical="center"/>
    </xf>
    <xf numFmtId="44" fontId="16" fillId="0" borderId="22" xfId="1" applyFont="1" applyBorder="1" applyAlignment="1">
      <alignment horizontal="right" vertical="center"/>
    </xf>
    <xf numFmtId="44" fontId="16" fillId="0" borderId="36" xfId="1" applyFont="1" applyBorder="1" applyAlignment="1">
      <alignment horizontal="right" vertical="center"/>
    </xf>
    <xf numFmtId="0" fontId="8" fillId="0" borderId="29" xfId="0" quotePrefix="1" applyFont="1" applyBorder="1" applyAlignment="1">
      <alignment horizontal="center" vertical="center"/>
    </xf>
    <xf numFmtId="0" fontId="8" fillId="0" borderId="30" xfId="0" applyFont="1" applyBorder="1" applyAlignment="1">
      <alignment vertical="center"/>
    </xf>
    <xf numFmtId="0" fontId="16" fillId="0" borderId="30" xfId="0" applyFont="1" applyBorder="1" applyAlignment="1">
      <alignment horizontal="right" vertical="center"/>
    </xf>
    <xf numFmtId="44" fontId="16" fillId="0" borderId="30" xfId="1" applyFont="1" applyBorder="1" applyAlignment="1">
      <alignment horizontal="right" vertical="center"/>
    </xf>
    <xf numFmtId="44" fontId="16" fillId="0" borderId="31" xfId="1" applyFont="1" applyBorder="1" applyAlignment="1">
      <alignment horizontal="right" vertical="center"/>
    </xf>
    <xf numFmtId="44" fontId="16" fillId="0" borderId="22" xfId="1" applyFont="1" applyFill="1" applyBorder="1" applyAlignment="1">
      <alignment horizontal="right" vertical="center"/>
    </xf>
    <xf numFmtId="44" fontId="16" fillId="3" borderId="22" xfId="1" applyFont="1" applyFill="1" applyBorder="1" applyAlignment="1">
      <alignment horizontal="right" vertical="center"/>
    </xf>
    <xf numFmtId="0" fontId="8" fillId="0" borderId="22" xfId="0" applyFont="1" applyBorder="1" applyAlignment="1">
      <alignment horizontal="left" vertical="center"/>
    </xf>
    <xf numFmtId="0" fontId="8" fillId="3" borderId="35" xfId="0" quotePrefix="1" applyFont="1" applyFill="1" applyBorder="1" applyAlignment="1">
      <alignment horizontal="center" vertical="center"/>
    </xf>
    <xf numFmtId="0" fontId="8" fillId="4" borderId="22" xfId="0" applyFont="1" applyFill="1" applyBorder="1" applyAlignment="1">
      <alignment horizontal="left"/>
    </xf>
    <xf numFmtId="0" fontId="16" fillId="3" borderId="22" xfId="0" applyFont="1" applyFill="1" applyBorder="1" applyAlignment="1">
      <alignment horizontal="right" vertical="center"/>
    </xf>
    <xf numFmtId="44" fontId="16" fillId="3" borderId="22" xfId="1" applyFont="1" applyFill="1" applyBorder="1" applyAlignment="1">
      <alignment horizontal="center" vertical="center"/>
    </xf>
    <xf numFmtId="0" fontId="8" fillId="0" borderId="22" xfId="0" applyFont="1" applyBorder="1" applyAlignment="1">
      <alignment horizontal="left"/>
    </xf>
    <xf numFmtId="0" fontId="8" fillId="4" borderId="35" xfId="0" applyFont="1" applyFill="1" applyBorder="1" applyAlignment="1">
      <alignment horizontal="center"/>
    </xf>
    <xf numFmtId="44" fontId="8" fillId="0" borderId="22" xfId="1" applyFont="1" applyBorder="1"/>
    <xf numFmtId="0" fontId="8" fillId="0" borderId="35" xfId="0" applyFont="1" applyBorder="1" applyAlignment="1">
      <alignment horizontal="center"/>
    </xf>
    <xf numFmtId="44" fontId="8" fillId="3" borderId="22" xfId="1" applyFont="1" applyFill="1" applyBorder="1"/>
    <xf numFmtId="0" fontId="8" fillId="4" borderId="22" xfId="0" applyFont="1" applyFill="1" applyBorder="1" applyAlignment="1"/>
    <xf numFmtId="0" fontId="8" fillId="0" borderId="22" xfId="0" applyFont="1" applyBorder="1"/>
    <xf numFmtId="0" fontId="8" fillId="4" borderId="22" xfId="0" applyFont="1" applyFill="1" applyBorder="1"/>
    <xf numFmtId="0" fontId="8" fillId="0" borderId="22" xfId="0" applyFont="1" applyFill="1" applyBorder="1"/>
    <xf numFmtId="0" fontId="8" fillId="3" borderId="22" xfId="0" applyFont="1" applyFill="1" applyBorder="1" applyAlignment="1">
      <alignment horizontal="left"/>
    </xf>
    <xf numFmtId="0" fontId="8" fillId="3" borderId="22" xfId="0" applyFont="1" applyFill="1" applyBorder="1"/>
    <xf numFmtId="0" fontId="8" fillId="0" borderId="29" xfId="0" applyFont="1" applyBorder="1" applyAlignment="1">
      <alignment horizontal="center"/>
    </xf>
    <xf numFmtId="0" fontId="8" fillId="0" borderId="30" xfId="0" applyFont="1" applyBorder="1"/>
    <xf numFmtId="44" fontId="8" fillId="0" borderId="30" xfId="1" applyFont="1" applyBorder="1"/>
    <xf numFmtId="164" fontId="6" fillId="2" borderId="42" xfId="0" applyNumberFormat="1" applyFont="1" applyFill="1" applyBorder="1" applyAlignment="1">
      <alignment horizontal="center" vertical="center"/>
    </xf>
    <xf numFmtId="164" fontId="6" fillId="2" borderId="43" xfId="0" applyNumberFormat="1" applyFont="1" applyFill="1" applyBorder="1" applyAlignment="1">
      <alignment horizontal="center" vertical="center"/>
    </xf>
    <xf numFmtId="164" fontId="6" fillId="2" borderId="44" xfId="0" applyNumberFormat="1" applyFont="1" applyFill="1" applyBorder="1" applyAlignment="1">
      <alignment horizontal="center" vertical="center"/>
    </xf>
    <xf numFmtId="0" fontId="7" fillId="0" borderId="20" xfId="0" applyFont="1" applyBorder="1"/>
    <xf numFmtId="0" fontId="7" fillId="0" borderId="21" xfId="0" applyFont="1" applyBorder="1" applyAlignment="1">
      <alignment horizontal="right"/>
    </xf>
    <xf numFmtId="0" fontId="7" fillId="0" borderId="21" xfId="0" applyFont="1" applyBorder="1" applyAlignment="1">
      <alignment vertical="center"/>
    </xf>
    <xf numFmtId="0" fontId="7" fillId="0" borderId="37" xfId="0" applyFont="1" applyBorder="1" applyAlignment="1">
      <alignment horizontal="center"/>
    </xf>
    <xf numFmtId="164" fontId="6" fillId="2" borderId="45" xfId="0" applyNumberFormat="1" applyFont="1" applyFill="1" applyBorder="1" applyAlignment="1">
      <alignment horizontal="center" vertical="center"/>
    </xf>
    <xf numFmtId="0" fontId="8" fillId="0" borderId="52" xfId="0" quotePrefix="1" applyFont="1" applyBorder="1" applyAlignment="1">
      <alignment horizontal="center" vertical="center"/>
    </xf>
    <xf numFmtId="0" fontId="8" fillId="0" borderId="41" xfId="0" applyFont="1" applyBorder="1" applyAlignment="1">
      <alignment vertical="center"/>
    </xf>
    <xf numFmtId="0" fontId="16" fillId="0" borderId="41" xfId="0" applyFont="1" applyBorder="1" applyAlignment="1">
      <alignment horizontal="right" vertical="center"/>
    </xf>
    <xf numFmtId="44" fontId="16" fillId="0" borderId="41" xfId="1" applyFont="1" applyBorder="1" applyAlignment="1">
      <alignment horizontal="right" vertical="center"/>
    </xf>
    <xf numFmtId="44" fontId="16" fillId="0" borderId="53" xfId="1" applyFont="1" applyBorder="1" applyAlignment="1">
      <alignment horizontal="right" vertical="center"/>
    </xf>
    <xf numFmtId="12" fontId="6" fillId="2" borderId="47" xfId="0" applyNumberFormat="1" applyFont="1" applyFill="1" applyBorder="1" applyAlignment="1">
      <alignment horizontal="center" vertical="top" wrapText="1"/>
    </xf>
    <xf numFmtId="12" fontId="6" fillId="2" borderId="54" xfId="0" applyNumberFormat="1" applyFont="1" applyFill="1" applyBorder="1" applyAlignment="1">
      <alignment horizontal="center" vertical="top"/>
    </xf>
    <xf numFmtId="12" fontId="6" fillId="2" borderId="54" xfId="0" applyNumberFormat="1" applyFont="1" applyFill="1" applyBorder="1" applyAlignment="1">
      <alignment horizontal="center" vertical="top" wrapText="1"/>
    </xf>
    <xf numFmtId="12" fontId="6" fillId="2" borderId="55" xfId="0" applyNumberFormat="1" applyFont="1" applyFill="1" applyBorder="1" applyAlignment="1">
      <alignment horizontal="center" vertical="top" wrapText="1"/>
    </xf>
    <xf numFmtId="12" fontId="6" fillId="2" borderId="56" xfId="0" applyNumberFormat="1" applyFont="1" applyFill="1" applyBorder="1" applyAlignment="1">
      <alignment horizontal="center" vertical="center"/>
    </xf>
    <xf numFmtId="12" fontId="6" fillId="2" borderId="57" xfId="0" applyNumberFormat="1" applyFont="1" applyFill="1" applyBorder="1" applyAlignment="1">
      <alignment horizontal="center" vertical="center"/>
    </xf>
    <xf numFmtId="12" fontId="6" fillId="2" borderId="58" xfId="0" applyNumberFormat="1" applyFont="1" applyFill="1" applyBorder="1" applyAlignment="1">
      <alignment horizontal="center" vertical="center"/>
    </xf>
    <xf numFmtId="164" fontId="6" fillId="2" borderId="41" xfId="0" applyNumberFormat="1" applyFont="1" applyFill="1" applyBorder="1" applyAlignment="1">
      <alignment horizontal="center" vertical="center"/>
    </xf>
    <xf numFmtId="0" fontId="8" fillId="0" borderId="41" xfId="0" quotePrefix="1" applyFont="1" applyBorder="1" applyAlignment="1">
      <alignment horizontal="center" vertical="center"/>
    </xf>
    <xf numFmtId="0" fontId="8" fillId="0" borderId="22" xfId="0" quotePrefix="1" applyFont="1" applyBorder="1" applyAlignment="1">
      <alignment horizontal="center" vertical="center"/>
    </xf>
    <xf numFmtId="0" fontId="8" fillId="0" borderId="30" xfId="0" quotePrefix="1" applyFont="1" applyBorder="1" applyAlignment="1">
      <alignment horizontal="center" vertical="center"/>
    </xf>
    <xf numFmtId="0" fontId="8" fillId="4" borderId="22" xfId="0" applyFont="1" applyFill="1" applyBorder="1" applyAlignment="1">
      <alignment horizontal="center"/>
    </xf>
    <xf numFmtId="0" fontId="8" fillId="0" borderId="22" xfId="0" applyFont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0" borderId="30" xfId="0" applyFont="1" applyBorder="1" applyAlignment="1">
      <alignment horizontal="center"/>
    </xf>
    <xf numFmtId="0" fontId="6" fillId="0" borderId="26" xfId="0" applyFont="1" applyBorder="1" applyAlignment="1">
      <alignment horizontal="center" vertical="center" textRotation="90"/>
    </xf>
    <xf numFmtId="0" fontId="6" fillId="0" borderId="35" xfId="0" applyFont="1" applyBorder="1" applyAlignment="1">
      <alignment horizontal="center" vertical="center" textRotation="90"/>
    </xf>
    <xf numFmtId="0" fontId="6" fillId="0" borderId="29" xfId="0" applyFont="1" applyBorder="1" applyAlignment="1">
      <alignment horizontal="center" vertical="center" textRotation="90"/>
    </xf>
    <xf numFmtId="12" fontId="5" fillId="2" borderId="26" xfId="0" applyNumberFormat="1" applyFont="1" applyFill="1" applyBorder="1" applyAlignment="1">
      <alignment horizontal="center" vertical="center"/>
    </xf>
    <xf numFmtId="12" fontId="5" fillId="2" borderId="27" xfId="0" applyNumberFormat="1" applyFont="1" applyFill="1" applyBorder="1" applyAlignment="1">
      <alignment horizontal="center" vertical="center"/>
    </xf>
    <xf numFmtId="12" fontId="5" fillId="2" borderId="28" xfId="0" applyNumberFormat="1" applyFont="1" applyFill="1" applyBorder="1" applyAlignment="1">
      <alignment horizontal="center" vertical="center"/>
    </xf>
    <xf numFmtId="12" fontId="5" fillId="2" borderId="34" xfId="0" applyNumberFormat="1" applyFont="1" applyFill="1" applyBorder="1" applyAlignment="1">
      <alignment horizontal="center" vertical="center"/>
    </xf>
    <xf numFmtId="12" fontId="5" fillId="2" borderId="32" xfId="0" applyNumberFormat="1" applyFont="1" applyFill="1" applyBorder="1" applyAlignment="1">
      <alignment horizontal="center" vertical="center"/>
    </xf>
    <xf numFmtId="12" fontId="5" fillId="2" borderId="29" xfId="0" applyNumberFormat="1" applyFont="1" applyFill="1" applyBorder="1" applyAlignment="1">
      <alignment horizontal="center" vertical="center"/>
    </xf>
    <xf numFmtId="12" fontId="5" fillId="2" borderId="30" xfId="0" applyNumberFormat="1" applyFont="1" applyFill="1" applyBorder="1" applyAlignment="1">
      <alignment horizontal="center" vertical="center"/>
    </xf>
    <xf numFmtId="12" fontId="5" fillId="2" borderId="27" xfId="0" applyNumberFormat="1" applyFont="1" applyFill="1" applyBorder="1" applyAlignment="1">
      <alignment horizontal="center" vertical="center" wrapText="1"/>
    </xf>
    <xf numFmtId="12" fontId="5" fillId="2" borderId="30" xfId="0" applyNumberFormat="1" applyFont="1" applyFill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textRotation="90" wrapText="1"/>
    </xf>
    <xf numFmtId="0" fontId="6" fillId="0" borderId="35" xfId="0" applyFont="1" applyBorder="1" applyAlignment="1">
      <alignment horizontal="center" vertical="center" textRotation="90" wrapText="1"/>
    </xf>
    <xf numFmtId="0" fontId="6" fillId="0" borderId="29" xfId="0" applyFont="1" applyBorder="1" applyAlignment="1">
      <alignment horizontal="center" vertical="center" textRotation="90" wrapText="1"/>
    </xf>
    <xf numFmtId="12" fontId="5" fillId="2" borderId="32" xfId="0" applyNumberFormat="1" applyFont="1" applyFill="1" applyBorder="1" applyAlignment="1">
      <alignment horizontal="center" vertical="center" wrapText="1"/>
    </xf>
    <xf numFmtId="12" fontId="5" fillId="2" borderId="33" xfId="0" applyNumberFormat="1" applyFont="1" applyFill="1" applyBorder="1" applyAlignment="1">
      <alignment horizontal="center" vertical="center" wrapText="1"/>
    </xf>
    <xf numFmtId="12" fontId="4" fillId="2" borderId="4" xfId="0" applyNumberFormat="1" applyFont="1" applyFill="1" applyBorder="1" applyAlignment="1">
      <alignment horizontal="center" vertical="center"/>
    </xf>
    <xf numFmtId="12" fontId="4" fillId="2" borderId="2" xfId="0" applyNumberFormat="1" applyFont="1" applyFill="1" applyBorder="1" applyAlignment="1">
      <alignment horizontal="center" vertical="center"/>
    </xf>
    <xf numFmtId="12" fontId="4" fillId="2" borderId="5" xfId="0" applyNumberFormat="1" applyFont="1" applyFill="1" applyBorder="1" applyAlignment="1">
      <alignment horizontal="center" vertical="center"/>
    </xf>
    <xf numFmtId="12" fontId="13" fillId="2" borderId="49" xfId="0" applyNumberFormat="1" applyFont="1" applyFill="1" applyBorder="1" applyAlignment="1">
      <alignment horizontal="center" vertical="center"/>
    </xf>
    <xf numFmtId="12" fontId="13" fillId="2" borderId="46" xfId="0" applyNumberFormat="1" applyFont="1" applyFill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2" fillId="0" borderId="19" xfId="0" applyFont="1" applyBorder="1"/>
    <xf numFmtId="0" fontId="6" fillId="0" borderId="6" xfId="0" applyFont="1" applyBorder="1" applyAlignment="1">
      <alignment horizontal="center" vertical="center" textRotation="90" wrapText="1"/>
    </xf>
    <xf numFmtId="0" fontId="6" fillId="0" borderId="10" xfId="0" applyFont="1" applyBorder="1" applyAlignment="1">
      <alignment horizontal="center" vertical="center" textRotation="90" wrapText="1"/>
    </xf>
    <xf numFmtId="0" fontId="6" fillId="0" borderId="14" xfId="0" applyFont="1" applyBorder="1" applyAlignment="1">
      <alignment horizontal="center" vertical="center" textRotation="90" wrapText="1"/>
    </xf>
    <xf numFmtId="0" fontId="17" fillId="0" borderId="10" xfId="0" applyFont="1" applyBorder="1"/>
    <xf numFmtId="0" fontId="6" fillId="0" borderId="23" xfId="0" applyFont="1" applyBorder="1" applyAlignment="1">
      <alignment horizontal="center" vertical="center" textRotation="90" wrapText="1"/>
    </xf>
    <xf numFmtId="0" fontId="6" fillId="0" borderId="24" xfId="0" applyFont="1" applyBorder="1" applyAlignment="1">
      <alignment horizontal="center" vertical="center" textRotation="90" wrapText="1"/>
    </xf>
    <xf numFmtId="0" fontId="6" fillId="0" borderId="25" xfId="0" applyFont="1" applyBorder="1" applyAlignment="1">
      <alignment horizontal="center" vertical="center" textRotation="90" wrapText="1"/>
    </xf>
    <xf numFmtId="0" fontId="6" fillId="0" borderId="48" xfId="0" applyFont="1" applyBorder="1" applyAlignment="1">
      <alignment horizontal="center" vertical="center" textRotation="90" wrapText="1"/>
    </xf>
    <xf numFmtId="0" fontId="6" fillId="0" borderId="50" xfId="0" applyFont="1" applyBorder="1" applyAlignment="1">
      <alignment horizontal="center" vertical="center" textRotation="90" wrapText="1"/>
    </xf>
    <xf numFmtId="12" fontId="6" fillId="2" borderId="4" xfId="0" applyNumberFormat="1" applyFont="1" applyFill="1" applyBorder="1" applyAlignment="1">
      <alignment horizontal="center" vertical="center"/>
    </xf>
    <xf numFmtId="12" fontId="6" fillId="2" borderId="2" xfId="0" applyNumberFormat="1" applyFont="1" applyFill="1" applyBorder="1" applyAlignment="1">
      <alignment horizontal="center" vertical="center"/>
    </xf>
    <xf numFmtId="0" fontId="6" fillId="0" borderId="51" xfId="0" applyFont="1" applyBorder="1" applyAlignment="1">
      <alignment horizontal="center" vertical="center" textRotation="90" wrapText="1"/>
    </xf>
  </cellXfs>
  <cellStyles count="2">
    <cellStyle name="Moeda 2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</xdr:colOff>
      <xdr:row>0</xdr:row>
      <xdr:rowOff>85725</xdr:rowOff>
    </xdr:from>
    <xdr:ext cx="1133475" cy="419100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5725" y="85725"/>
          <a:ext cx="1133475" cy="4191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0</xdr:row>
      <xdr:rowOff>47625</xdr:rowOff>
    </xdr:from>
    <xdr:ext cx="1133475" cy="419100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675" y="47625"/>
          <a:ext cx="1133475" cy="41910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66675</xdr:rowOff>
    </xdr:from>
    <xdr:ext cx="1133475" cy="419100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2400" y="66675"/>
          <a:ext cx="1133475" cy="4191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1001"/>
  <sheetViews>
    <sheetView tabSelected="1" workbookViewId="0">
      <selection activeCell="D16" sqref="D16"/>
    </sheetView>
  </sheetViews>
  <sheetFormatPr defaultColWidth="14.42578125" defaultRowHeight="15" x14ac:dyDescent="0.25"/>
  <cols>
    <col min="1" max="1" width="7" style="6" customWidth="1"/>
    <col min="2" max="2" width="15" style="6" bestFit="1" customWidth="1"/>
    <col min="3" max="3" width="9.42578125" style="6" customWidth="1"/>
    <col min="4" max="4" width="53" style="6" customWidth="1"/>
    <col min="5" max="5" width="8.28515625" style="6" customWidth="1"/>
    <col min="6" max="14" width="10" style="6" customWidth="1"/>
    <col min="15" max="15" width="9.28515625" style="6" customWidth="1"/>
    <col min="16" max="16" width="10" style="6" customWidth="1"/>
    <col min="17" max="18" width="9.28515625" style="6" customWidth="1"/>
    <col min="19" max="19" width="10" style="6" customWidth="1"/>
    <col min="20" max="28" width="9.28515625" style="6" customWidth="1"/>
    <col min="29" max="16384" width="14.42578125" style="6"/>
  </cols>
  <sheetData>
    <row r="1" spans="1:28" ht="49.5" customHeight="1" thickBot="1" x14ac:dyDescent="0.3">
      <c r="A1" s="1"/>
      <c r="B1" s="2"/>
      <c r="C1" s="2"/>
      <c r="D1" s="59" t="s">
        <v>0</v>
      </c>
      <c r="E1" s="3"/>
      <c r="F1" s="139" t="s">
        <v>1</v>
      </c>
      <c r="G1" s="140"/>
      <c r="H1" s="140"/>
      <c r="I1" s="140"/>
      <c r="J1" s="140"/>
      <c r="K1" s="140"/>
      <c r="L1" s="140"/>
      <c r="M1" s="140"/>
      <c r="N1" s="141"/>
      <c r="O1" s="5"/>
      <c r="P1" s="4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8" s="26" customFormat="1" ht="14.25" customHeight="1" x14ac:dyDescent="0.25">
      <c r="A2" s="125" t="s">
        <v>3</v>
      </c>
      <c r="B2" s="126" t="s">
        <v>4</v>
      </c>
      <c r="C2" s="132" t="s">
        <v>5</v>
      </c>
      <c r="D2" s="126" t="s">
        <v>6</v>
      </c>
      <c r="E2" s="137" t="s">
        <v>7</v>
      </c>
      <c r="F2" s="125" t="s">
        <v>8</v>
      </c>
      <c r="G2" s="126"/>
      <c r="H2" s="127"/>
      <c r="I2" s="128" t="s">
        <v>9</v>
      </c>
      <c r="J2" s="126"/>
      <c r="K2" s="129"/>
      <c r="L2" s="125" t="s">
        <v>10</v>
      </c>
      <c r="M2" s="126"/>
      <c r="N2" s="127"/>
      <c r="O2" s="24"/>
      <c r="P2" s="25"/>
      <c r="Q2" s="25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</row>
    <row r="3" spans="1:28" s="26" customFormat="1" ht="14.25" customHeight="1" thickBot="1" x14ac:dyDescent="0.3">
      <c r="A3" s="130"/>
      <c r="B3" s="131"/>
      <c r="C3" s="133"/>
      <c r="D3" s="131"/>
      <c r="E3" s="138"/>
      <c r="F3" s="39" t="s">
        <v>412</v>
      </c>
      <c r="G3" s="38" t="s">
        <v>413</v>
      </c>
      <c r="H3" s="40" t="s">
        <v>414</v>
      </c>
      <c r="I3" s="39" t="s">
        <v>415</v>
      </c>
      <c r="J3" s="38" t="s">
        <v>416</v>
      </c>
      <c r="K3" s="40" t="s">
        <v>417</v>
      </c>
      <c r="L3" s="39" t="s">
        <v>418</v>
      </c>
      <c r="M3" s="38" t="s">
        <v>419</v>
      </c>
      <c r="N3" s="40" t="s">
        <v>420</v>
      </c>
      <c r="O3" s="24"/>
      <c r="P3" s="25"/>
      <c r="Q3" s="25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</row>
    <row r="4" spans="1:28" s="14" customFormat="1" ht="12" x14ac:dyDescent="0.2">
      <c r="A4" s="134" t="s">
        <v>11</v>
      </c>
      <c r="B4" s="41" t="s">
        <v>12</v>
      </c>
      <c r="C4" s="42" t="s">
        <v>13</v>
      </c>
      <c r="D4" s="41" t="s">
        <v>14</v>
      </c>
      <c r="E4" s="43">
        <v>15</v>
      </c>
      <c r="F4" s="44">
        <v>14.7</v>
      </c>
      <c r="G4" s="44">
        <f>F4*1.04</f>
        <v>15.288</v>
      </c>
      <c r="H4" s="44">
        <v>15.875999999999999</v>
      </c>
      <c r="I4" s="44">
        <f t="shared" ref="I4:N4" si="0">H4*1.04</f>
        <v>16.511040000000001</v>
      </c>
      <c r="J4" s="44">
        <f t="shared" si="0"/>
        <v>17.171481600000003</v>
      </c>
      <c r="K4" s="44">
        <f t="shared" si="0"/>
        <v>17.858340864000006</v>
      </c>
      <c r="L4" s="44">
        <f t="shared" si="0"/>
        <v>18.572674498560005</v>
      </c>
      <c r="M4" s="44">
        <f t="shared" si="0"/>
        <v>19.315581478502406</v>
      </c>
      <c r="N4" s="45">
        <f t="shared" si="0"/>
        <v>20.088204737642503</v>
      </c>
      <c r="O4" s="11"/>
      <c r="P4" s="12"/>
      <c r="Q4" s="11"/>
      <c r="R4" s="13"/>
      <c r="S4" s="12"/>
      <c r="T4" s="13"/>
      <c r="U4" s="13"/>
      <c r="V4" s="13"/>
      <c r="W4" s="13"/>
      <c r="X4" s="13"/>
      <c r="Y4" s="13"/>
      <c r="Z4" s="13"/>
      <c r="AA4" s="13"/>
      <c r="AB4" s="13"/>
    </row>
    <row r="5" spans="1:28" s="14" customFormat="1" ht="12" x14ac:dyDescent="0.2">
      <c r="A5" s="135"/>
      <c r="B5" s="28" t="s">
        <v>15</v>
      </c>
      <c r="C5" s="29" t="s">
        <v>16</v>
      </c>
      <c r="D5" s="28" t="s">
        <v>17</v>
      </c>
      <c r="E5" s="30">
        <v>6</v>
      </c>
      <c r="F5" s="31">
        <v>17</v>
      </c>
      <c r="G5" s="31">
        <f t="shared" ref="G5:G68" si="1">F5*1.04</f>
        <v>17.68</v>
      </c>
      <c r="H5" s="31">
        <v>18.36</v>
      </c>
      <c r="I5" s="31">
        <f t="shared" ref="I5:N68" si="2">H5*1.04</f>
        <v>19.0944</v>
      </c>
      <c r="J5" s="31">
        <f t="shared" si="2"/>
        <v>19.858176</v>
      </c>
      <c r="K5" s="31">
        <f t="shared" si="2"/>
        <v>20.652503040000003</v>
      </c>
      <c r="L5" s="31">
        <f t="shared" si="2"/>
        <v>21.478603161600002</v>
      </c>
      <c r="M5" s="31">
        <f t="shared" si="2"/>
        <v>22.337747288064005</v>
      </c>
      <c r="N5" s="46">
        <f t="shared" si="2"/>
        <v>23.231257179586567</v>
      </c>
      <c r="O5" s="11"/>
      <c r="P5" s="12"/>
      <c r="Q5" s="11"/>
      <c r="R5" s="13"/>
      <c r="S5" s="12"/>
      <c r="T5" s="13"/>
      <c r="U5" s="13"/>
      <c r="V5" s="13"/>
      <c r="W5" s="13"/>
      <c r="X5" s="13"/>
      <c r="Y5" s="13"/>
      <c r="Z5" s="13"/>
      <c r="AA5" s="13"/>
      <c r="AB5" s="13"/>
    </row>
    <row r="6" spans="1:28" s="14" customFormat="1" ht="12" x14ac:dyDescent="0.2">
      <c r="A6" s="135"/>
      <c r="B6" s="28" t="s">
        <v>18</v>
      </c>
      <c r="C6" s="29" t="s">
        <v>19</v>
      </c>
      <c r="D6" s="28" t="s">
        <v>20</v>
      </c>
      <c r="E6" s="30">
        <v>12</v>
      </c>
      <c r="F6" s="31">
        <v>23.700000000000003</v>
      </c>
      <c r="G6" s="31">
        <f t="shared" si="1"/>
        <v>24.648000000000003</v>
      </c>
      <c r="H6" s="31">
        <v>25.596000000000004</v>
      </c>
      <c r="I6" s="31">
        <f t="shared" si="2"/>
        <v>26.619840000000003</v>
      </c>
      <c r="J6" s="31">
        <f t="shared" si="2"/>
        <v>27.684633600000005</v>
      </c>
      <c r="K6" s="31">
        <f t="shared" si="2"/>
        <v>28.792018944000006</v>
      </c>
      <c r="L6" s="31">
        <f t="shared" si="2"/>
        <v>29.943699701760007</v>
      </c>
      <c r="M6" s="31">
        <f t="shared" si="2"/>
        <v>31.141447689830407</v>
      </c>
      <c r="N6" s="46">
        <f t="shared" si="2"/>
        <v>32.387105597423627</v>
      </c>
      <c r="O6" s="11"/>
      <c r="P6" s="12"/>
      <c r="Q6" s="11"/>
      <c r="R6" s="13"/>
      <c r="S6" s="12"/>
      <c r="T6" s="13"/>
      <c r="U6" s="13"/>
      <c r="V6" s="13"/>
      <c r="W6" s="13"/>
      <c r="X6" s="13"/>
      <c r="Y6" s="13"/>
      <c r="Z6" s="13"/>
      <c r="AA6" s="13"/>
      <c r="AB6" s="13"/>
    </row>
    <row r="7" spans="1:28" s="14" customFormat="1" ht="12" x14ac:dyDescent="0.2">
      <c r="A7" s="135"/>
      <c r="B7" s="28" t="s">
        <v>21</v>
      </c>
      <c r="C7" s="29" t="s">
        <v>22</v>
      </c>
      <c r="D7" s="28" t="s">
        <v>23</v>
      </c>
      <c r="E7" s="30">
        <v>6</v>
      </c>
      <c r="F7" s="31">
        <v>30.400000000000002</v>
      </c>
      <c r="G7" s="31">
        <f t="shared" si="1"/>
        <v>31.616000000000003</v>
      </c>
      <c r="H7" s="31">
        <v>32.832000000000008</v>
      </c>
      <c r="I7" s="31">
        <f t="shared" si="2"/>
        <v>34.145280000000007</v>
      </c>
      <c r="J7" s="31">
        <f t="shared" si="2"/>
        <v>35.51109120000001</v>
      </c>
      <c r="K7" s="31">
        <f t="shared" si="2"/>
        <v>36.931534848000013</v>
      </c>
      <c r="L7" s="31">
        <f t="shared" si="2"/>
        <v>38.408796241920015</v>
      </c>
      <c r="M7" s="31">
        <f t="shared" si="2"/>
        <v>39.94514809159682</v>
      </c>
      <c r="N7" s="46">
        <f t="shared" si="2"/>
        <v>41.542954015260698</v>
      </c>
      <c r="O7" s="11"/>
      <c r="P7" s="12"/>
      <c r="Q7" s="11"/>
      <c r="R7" s="13"/>
      <c r="S7" s="12"/>
      <c r="T7" s="13"/>
      <c r="U7" s="13"/>
      <c r="V7" s="13"/>
      <c r="W7" s="13"/>
      <c r="X7" s="13"/>
      <c r="Y7" s="13"/>
      <c r="Z7" s="13"/>
      <c r="AA7" s="13"/>
      <c r="AB7" s="13"/>
    </row>
    <row r="8" spans="1:28" s="14" customFormat="1" ht="12" x14ac:dyDescent="0.2">
      <c r="A8" s="135"/>
      <c r="B8" s="28" t="s">
        <v>24</v>
      </c>
      <c r="C8" s="29" t="s">
        <v>25</v>
      </c>
      <c r="D8" s="28" t="s">
        <v>26</v>
      </c>
      <c r="E8" s="30">
        <v>15</v>
      </c>
      <c r="F8" s="31">
        <v>18.100000000000001</v>
      </c>
      <c r="G8" s="31">
        <f t="shared" si="1"/>
        <v>18.824000000000002</v>
      </c>
      <c r="H8" s="31">
        <v>19.548000000000002</v>
      </c>
      <c r="I8" s="31">
        <f t="shared" si="2"/>
        <v>20.329920000000001</v>
      </c>
      <c r="J8" s="31">
        <f t="shared" si="2"/>
        <v>21.143116800000001</v>
      </c>
      <c r="K8" s="31">
        <f t="shared" si="2"/>
        <v>21.988841472000001</v>
      </c>
      <c r="L8" s="31">
        <f t="shared" si="2"/>
        <v>22.868395130880003</v>
      </c>
      <c r="M8" s="31">
        <f t="shared" si="2"/>
        <v>23.783130936115203</v>
      </c>
      <c r="N8" s="46">
        <f t="shared" si="2"/>
        <v>24.734456173559813</v>
      </c>
      <c r="O8" s="11"/>
      <c r="P8" s="12"/>
      <c r="Q8" s="11"/>
      <c r="R8" s="13"/>
      <c r="S8" s="12"/>
      <c r="T8" s="13"/>
      <c r="U8" s="13"/>
      <c r="V8" s="13"/>
      <c r="W8" s="13"/>
      <c r="X8" s="13"/>
      <c r="Y8" s="13"/>
      <c r="Z8" s="13"/>
      <c r="AA8" s="13"/>
      <c r="AB8" s="13"/>
    </row>
    <row r="9" spans="1:28" s="14" customFormat="1" ht="12" x14ac:dyDescent="0.2">
      <c r="A9" s="135"/>
      <c r="B9" s="28" t="s">
        <v>27</v>
      </c>
      <c r="C9" s="29" t="s">
        <v>28</v>
      </c>
      <c r="D9" s="28" t="s">
        <v>29</v>
      </c>
      <c r="E9" s="30">
        <v>25</v>
      </c>
      <c r="F9" s="31">
        <v>12.7</v>
      </c>
      <c r="G9" s="31">
        <f t="shared" si="1"/>
        <v>13.208</v>
      </c>
      <c r="H9" s="31">
        <v>13.715999999999999</v>
      </c>
      <c r="I9" s="31">
        <f t="shared" si="2"/>
        <v>14.26464</v>
      </c>
      <c r="J9" s="31">
        <f t="shared" si="2"/>
        <v>14.835225600000001</v>
      </c>
      <c r="K9" s="31">
        <f t="shared" si="2"/>
        <v>15.428634624000003</v>
      </c>
      <c r="L9" s="31">
        <f t="shared" si="2"/>
        <v>16.045780008960005</v>
      </c>
      <c r="M9" s="31">
        <f t="shared" si="2"/>
        <v>16.687611209318405</v>
      </c>
      <c r="N9" s="46">
        <f t="shared" si="2"/>
        <v>17.35511565769114</v>
      </c>
      <c r="O9" s="11"/>
      <c r="P9" s="12"/>
      <c r="Q9" s="11"/>
      <c r="R9" s="13"/>
      <c r="S9" s="12"/>
      <c r="T9" s="13"/>
      <c r="U9" s="13"/>
      <c r="V9" s="13"/>
      <c r="W9" s="13"/>
      <c r="X9" s="13"/>
      <c r="Y9" s="13"/>
      <c r="Z9" s="13"/>
      <c r="AA9" s="13"/>
      <c r="AB9" s="13"/>
    </row>
    <row r="10" spans="1:28" s="14" customFormat="1" ht="12" x14ac:dyDescent="0.2">
      <c r="A10" s="135"/>
      <c r="B10" s="28" t="s">
        <v>30</v>
      </c>
      <c r="C10" s="29" t="s">
        <v>31</v>
      </c>
      <c r="D10" s="28" t="s">
        <v>32</v>
      </c>
      <c r="E10" s="30">
        <v>4</v>
      </c>
      <c r="F10" s="31">
        <v>32.4</v>
      </c>
      <c r="G10" s="31">
        <f t="shared" si="1"/>
        <v>33.695999999999998</v>
      </c>
      <c r="H10" s="31">
        <v>34.991999999999997</v>
      </c>
      <c r="I10" s="31">
        <f t="shared" si="2"/>
        <v>36.391680000000001</v>
      </c>
      <c r="J10" s="31">
        <f t="shared" si="2"/>
        <v>37.847347200000002</v>
      </c>
      <c r="K10" s="31">
        <f t="shared" si="2"/>
        <v>39.361241088</v>
      </c>
      <c r="L10" s="31">
        <f t="shared" si="2"/>
        <v>40.935690731520005</v>
      </c>
      <c r="M10" s="31">
        <f t="shared" si="2"/>
        <v>42.573118360780803</v>
      </c>
      <c r="N10" s="46">
        <f t="shared" si="2"/>
        <v>44.276043095212039</v>
      </c>
      <c r="O10" s="11"/>
      <c r="P10" s="12"/>
      <c r="Q10" s="11"/>
      <c r="R10" s="13"/>
      <c r="S10" s="12"/>
      <c r="T10" s="13"/>
      <c r="U10" s="13"/>
      <c r="V10" s="13"/>
      <c r="W10" s="13"/>
      <c r="X10" s="13"/>
      <c r="Y10" s="13"/>
      <c r="Z10" s="13"/>
      <c r="AA10" s="13"/>
      <c r="AB10" s="13"/>
    </row>
    <row r="11" spans="1:28" s="14" customFormat="1" ht="12" x14ac:dyDescent="0.2">
      <c r="A11" s="135"/>
      <c r="B11" s="28" t="s">
        <v>33</v>
      </c>
      <c r="C11" s="29" t="s">
        <v>34</v>
      </c>
      <c r="D11" s="28" t="s">
        <v>35</v>
      </c>
      <c r="E11" s="30">
        <v>6</v>
      </c>
      <c r="F11" s="31">
        <v>23</v>
      </c>
      <c r="G11" s="31">
        <f t="shared" si="1"/>
        <v>23.92</v>
      </c>
      <c r="H11" s="31">
        <v>24.840000000000003</v>
      </c>
      <c r="I11" s="31">
        <f t="shared" si="2"/>
        <v>25.833600000000004</v>
      </c>
      <c r="J11" s="31">
        <f t="shared" si="2"/>
        <v>26.866944000000004</v>
      </c>
      <c r="K11" s="31">
        <f t="shared" si="2"/>
        <v>27.941621760000004</v>
      </c>
      <c r="L11" s="31">
        <f t="shared" si="2"/>
        <v>29.059286630400006</v>
      </c>
      <c r="M11" s="31">
        <f t="shared" si="2"/>
        <v>30.221658095616007</v>
      </c>
      <c r="N11" s="46">
        <f t="shared" si="2"/>
        <v>31.430524419440648</v>
      </c>
      <c r="O11" s="11"/>
      <c r="P11" s="12"/>
      <c r="Q11" s="11"/>
      <c r="R11" s="13"/>
      <c r="S11" s="12"/>
      <c r="T11" s="13"/>
      <c r="U11" s="13"/>
      <c r="V11" s="13"/>
      <c r="W11" s="13"/>
      <c r="X11" s="13"/>
      <c r="Y11" s="13"/>
      <c r="Z11" s="13"/>
      <c r="AA11" s="13"/>
      <c r="AB11" s="13"/>
    </row>
    <row r="12" spans="1:28" s="14" customFormat="1" ht="12" x14ac:dyDescent="0.2">
      <c r="A12" s="135"/>
      <c r="B12" s="28" t="s">
        <v>36</v>
      </c>
      <c r="C12" s="29" t="s">
        <v>37</v>
      </c>
      <c r="D12" s="28" t="s">
        <v>38</v>
      </c>
      <c r="E12" s="30">
        <v>15</v>
      </c>
      <c r="F12" s="31">
        <v>18.700000000000003</v>
      </c>
      <c r="G12" s="31">
        <f t="shared" si="1"/>
        <v>19.448000000000004</v>
      </c>
      <c r="H12" s="31">
        <v>20.196000000000005</v>
      </c>
      <c r="I12" s="31">
        <f t="shared" si="2"/>
        <v>21.003840000000007</v>
      </c>
      <c r="J12" s="31">
        <f t="shared" si="2"/>
        <v>21.843993600000008</v>
      </c>
      <c r="K12" s="31">
        <f t="shared" si="2"/>
        <v>22.717753344000009</v>
      </c>
      <c r="L12" s="31">
        <f t="shared" si="2"/>
        <v>23.626463477760009</v>
      </c>
      <c r="M12" s="31">
        <f t="shared" si="2"/>
        <v>24.571522016870411</v>
      </c>
      <c r="N12" s="46">
        <f t="shared" si="2"/>
        <v>25.554382897545228</v>
      </c>
      <c r="O12" s="11"/>
      <c r="P12" s="12"/>
      <c r="Q12" s="11"/>
      <c r="R12" s="13"/>
      <c r="S12" s="12"/>
      <c r="T12" s="13"/>
      <c r="U12" s="13"/>
      <c r="V12" s="13"/>
      <c r="W12" s="13"/>
      <c r="X12" s="13"/>
      <c r="Y12" s="13"/>
      <c r="Z12" s="13"/>
      <c r="AA12" s="13"/>
      <c r="AB12" s="13"/>
    </row>
    <row r="13" spans="1:28" s="14" customFormat="1" ht="12" x14ac:dyDescent="0.2">
      <c r="A13" s="135"/>
      <c r="B13" s="28" t="s">
        <v>39</v>
      </c>
      <c r="C13" s="29" t="s">
        <v>40</v>
      </c>
      <c r="D13" s="28" t="s">
        <v>41</v>
      </c>
      <c r="E13" s="30">
        <v>6</v>
      </c>
      <c r="F13" s="31">
        <v>26.200000000000003</v>
      </c>
      <c r="G13" s="31">
        <f t="shared" si="1"/>
        <v>27.248000000000005</v>
      </c>
      <c r="H13" s="31">
        <v>28.296000000000006</v>
      </c>
      <c r="I13" s="31">
        <f t="shared" si="2"/>
        <v>29.427840000000007</v>
      </c>
      <c r="J13" s="31">
        <f t="shared" si="2"/>
        <v>30.604953600000009</v>
      </c>
      <c r="K13" s="31">
        <f t="shared" si="2"/>
        <v>31.829151744000011</v>
      </c>
      <c r="L13" s="31">
        <f t="shared" si="2"/>
        <v>33.10231781376001</v>
      </c>
      <c r="M13" s="31">
        <f t="shared" si="2"/>
        <v>34.426410526310413</v>
      </c>
      <c r="N13" s="46">
        <f t="shared" si="2"/>
        <v>35.803466947362828</v>
      </c>
      <c r="O13" s="11"/>
      <c r="P13" s="12"/>
      <c r="Q13" s="11"/>
      <c r="R13" s="13"/>
      <c r="S13" s="12"/>
      <c r="T13" s="13"/>
      <c r="U13" s="13"/>
      <c r="V13" s="13"/>
      <c r="W13" s="13"/>
      <c r="X13" s="13"/>
      <c r="Y13" s="13"/>
      <c r="Z13" s="13"/>
      <c r="AA13" s="13"/>
      <c r="AB13" s="13"/>
    </row>
    <row r="14" spans="1:28" s="14" customFormat="1" ht="12" x14ac:dyDescent="0.2">
      <c r="A14" s="135"/>
      <c r="B14" s="28" t="s">
        <v>42</v>
      </c>
      <c r="C14" s="29" t="s">
        <v>43</v>
      </c>
      <c r="D14" s="28" t="s">
        <v>44</v>
      </c>
      <c r="E14" s="30">
        <v>8</v>
      </c>
      <c r="F14" s="31">
        <v>26.8</v>
      </c>
      <c r="G14" s="31">
        <f t="shared" si="1"/>
        <v>27.872000000000003</v>
      </c>
      <c r="H14" s="31">
        <v>28.944000000000003</v>
      </c>
      <c r="I14" s="31">
        <f t="shared" si="2"/>
        <v>30.101760000000002</v>
      </c>
      <c r="J14" s="31">
        <f t="shared" si="2"/>
        <v>31.305830400000005</v>
      </c>
      <c r="K14" s="31">
        <f t="shared" si="2"/>
        <v>32.558063616000005</v>
      </c>
      <c r="L14" s="31">
        <f t="shared" si="2"/>
        <v>33.860386160640005</v>
      </c>
      <c r="M14" s="31">
        <f t="shared" si="2"/>
        <v>35.214801607065603</v>
      </c>
      <c r="N14" s="46">
        <f t="shared" si="2"/>
        <v>36.623393671348225</v>
      </c>
      <c r="O14" s="11"/>
      <c r="P14" s="12"/>
      <c r="Q14" s="11"/>
      <c r="R14" s="13"/>
      <c r="S14" s="12"/>
      <c r="T14" s="13"/>
      <c r="U14" s="13"/>
      <c r="V14" s="13"/>
      <c r="W14" s="13"/>
      <c r="X14" s="13"/>
      <c r="Y14" s="13"/>
      <c r="Z14" s="13"/>
      <c r="AA14" s="13"/>
      <c r="AB14" s="13"/>
    </row>
    <row r="15" spans="1:28" s="14" customFormat="1" ht="12" x14ac:dyDescent="0.2">
      <c r="A15" s="135"/>
      <c r="B15" s="28" t="s">
        <v>45</v>
      </c>
      <c r="C15" s="29" t="s">
        <v>46</v>
      </c>
      <c r="D15" s="28" t="s">
        <v>47</v>
      </c>
      <c r="E15" s="30">
        <v>6</v>
      </c>
      <c r="F15" s="31">
        <v>41.2</v>
      </c>
      <c r="G15" s="31">
        <f t="shared" si="1"/>
        <v>42.848000000000006</v>
      </c>
      <c r="H15" s="31">
        <v>44.496000000000009</v>
      </c>
      <c r="I15" s="31">
        <f t="shared" si="2"/>
        <v>46.275840000000009</v>
      </c>
      <c r="J15" s="31">
        <f t="shared" si="2"/>
        <v>48.12687360000001</v>
      </c>
      <c r="K15" s="31">
        <f t="shared" si="2"/>
        <v>50.051948544000012</v>
      </c>
      <c r="L15" s="31">
        <f t="shared" si="2"/>
        <v>52.054026485760012</v>
      </c>
      <c r="M15" s="31">
        <f t="shared" si="2"/>
        <v>54.136187545190417</v>
      </c>
      <c r="N15" s="46">
        <f t="shared" si="2"/>
        <v>56.301635046998037</v>
      </c>
      <c r="O15" s="11"/>
      <c r="P15" s="12"/>
      <c r="Q15" s="11"/>
      <c r="R15" s="13"/>
      <c r="S15" s="12"/>
      <c r="T15" s="13"/>
      <c r="U15" s="13"/>
      <c r="V15" s="13"/>
      <c r="W15" s="13"/>
      <c r="X15" s="13"/>
      <c r="Y15" s="13"/>
      <c r="Z15" s="13"/>
      <c r="AA15" s="13"/>
      <c r="AB15" s="13"/>
    </row>
    <row r="16" spans="1:28" s="14" customFormat="1" ht="12" x14ac:dyDescent="0.2">
      <c r="A16" s="135"/>
      <c r="B16" s="28" t="s">
        <v>48</v>
      </c>
      <c r="C16" s="29" t="s">
        <v>49</v>
      </c>
      <c r="D16" s="28" t="s">
        <v>50</v>
      </c>
      <c r="E16" s="30">
        <v>4</v>
      </c>
      <c r="F16" s="31">
        <v>29.6</v>
      </c>
      <c r="G16" s="31">
        <f t="shared" si="1"/>
        <v>30.784000000000002</v>
      </c>
      <c r="H16" s="31">
        <v>31.968000000000004</v>
      </c>
      <c r="I16" s="31">
        <f t="shared" si="2"/>
        <v>33.246720000000003</v>
      </c>
      <c r="J16" s="31">
        <f t="shared" si="2"/>
        <v>34.576588800000003</v>
      </c>
      <c r="K16" s="31">
        <f t="shared" si="2"/>
        <v>35.959652352000006</v>
      </c>
      <c r="L16" s="31">
        <f t="shared" si="2"/>
        <v>37.398038446080008</v>
      </c>
      <c r="M16" s="31">
        <f t="shared" si="2"/>
        <v>38.89395998392321</v>
      </c>
      <c r="N16" s="46">
        <f t="shared" si="2"/>
        <v>40.449718383280143</v>
      </c>
      <c r="O16" s="11"/>
      <c r="P16" s="12"/>
      <c r="Q16" s="11"/>
      <c r="R16" s="13"/>
      <c r="S16" s="12"/>
      <c r="T16" s="13"/>
      <c r="U16" s="13"/>
      <c r="V16" s="13"/>
      <c r="W16" s="13"/>
      <c r="X16" s="13"/>
      <c r="Y16" s="13"/>
      <c r="Z16" s="13"/>
      <c r="AA16" s="13"/>
      <c r="AB16" s="13"/>
    </row>
    <row r="17" spans="1:28" s="14" customFormat="1" ht="12.75" thickBot="1" x14ac:dyDescent="0.25">
      <c r="A17" s="136"/>
      <c r="B17" s="47" t="s">
        <v>51</v>
      </c>
      <c r="C17" s="48" t="s">
        <v>52</v>
      </c>
      <c r="D17" s="47" t="s">
        <v>53</v>
      </c>
      <c r="E17" s="49">
        <v>4</v>
      </c>
      <c r="F17" s="50">
        <v>54.800000000000004</v>
      </c>
      <c r="G17" s="50">
        <f t="shared" si="1"/>
        <v>56.992000000000004</v>
      </c>
      <c r="H17" s="50">
        <v>59.184000000000012</v>
      </c>
      <c r="I17" s="50">
        <f t="shared" si="2"/>
        <v>61.551360000000017</v>
      </c>
      <c r="J17" s="50">
        <f t="shared" si="2"/>
        <v>64.013414400000016</v>
      </c>
      <c r="K17" s="50">
        <f t="shared" si="2"/>
        <v>66.57395097600002</v>
      </c>
      <c r="L17" s="50">
        <f t="shared" si="2"/>
        <v>69.236909015040027</v>
      </c>
      <c r="M17" s="50">
        <f t="shared" si="2"/>
        <v>72.006385375641628</v>
      </c>
      <c r="N17" s="51">
        <f t="shared" si="2"/>
        <v>74.8866407906673</v>
      </c>
      <c r="O17" s="11"/>
      <c r="P17" s="12"/>
      <c r="Q17" s="11"/>
      <c r="R17" s="13"/>
      <c r="S17" s="12"/>
      <c r="T17" s="13"/>
      <c r="U17" s="13"/>
      <c r="V17" s="13"/>
      <c r="W17" s="13"/>
      <c r="X17" s="13"/>
      <c r="Y17" s="13"/>
      <c r="Z17" s="13"/>
      <c r="AA17" s="13"/>
      <c r="AB17" s="13"/>
    </row>
    <row r="18" spans="1:28" s="14" customFormat="1" ht="12" x14ac:dyDescent="0.2">
      <c r="A18" s="134" t="s">
        <v>54</v>
      </c>
      <c r="B18" s="41" t="s">
        <v>55</v>
      </c>
      <c r="C18" s="42" t="s">
        <v>56</v>
      </c>
      <c r="D18" s="41" t="s">
        <v>57</v>
      </c>
      <c r="E18" s="43">
        <v>15</v>
      </c>
      <c r="F18" s="44">
        <v>13.99</v>
      </c>
      <c r="G18" s="44">
        <f t="shared" si="1"/>
        <v>14.5496</v>
      </c>
      <c r="H18" s="44">
        <v>15.109200000000001</v>
      </c>
      <c r="I18" s="44">
        <f t="shared" si="2"/>
        <v>15.713568000000002</v>
      </c>
      <c r="J18" s="44">
        <f t="shared" si="2"/>
        <v>16.342110720000004</v>
      </c>
      <c r="K18" s="44">
        <f t="shared" si="2"/>
        <v>16.995795148800006</v>
      </c>
      <c r="L18" s="44">
        <f t="shared" si="2"/>
        <v>17.675626954752008</v>
      </c>
      <c r="M18" s="44">
        <f t="shared" si="2"/>
        <v>18.38265203294209</v>
      </c>
      <c r="N18" s="45">
        <f t="shared" si="2"/>
        <v>19.117958114259775</v>
      </c>
      <c r="O18" s="11"/>
      <c r="P18" s="12"/>
      <c r="Q18" s="11"/>
      <c r="R18" s="13"/>
      <c r="S18" s="12"/>
      <c r="T18" s="13"/>
      <c r="U18" s="13"/>
      <c r="V18" s="13"/>
      <c r="W18" s="13"/>
      <c r="X18" s="13"/>
      <c r="Y18" s="13"/>
      <c r="Z18" s="13"/>
      <c r="AA18" s="13"/>
      <c r="AB18" s="13"/>
    </row>
    <row r="19" spans="1:28" s="14" customFormat="1" ht="12" x14ac:dyDescent="0.2">
      <c r="A19" s="135"/>
      <c r="B19" s="28" t="s">
        <v>58</v>
      </c>
      <c r="C19" s="29" t="s">
        <v>59</v>
      </c>
      <c r="D19" s="28" t="s">
        <v>60</v>
      </c>
      <c r="E19" s="30">
        <v>12</v>
      </c>
      <c r="F19" s="31">
        <v>21.6</v>
      </c>
      <c r="G19" s="31">
        <f t="shared" si="1"/>
        <v>22.464000000000002</v>
      </c>
      <c r="H19" s="31">
        <v>23.328000000000003</v>
      </c>
      <c r="I19" s="31">
        <f t="shared" si="2"/>
        <v>24.261120000000005</v>
      </c>
      <c r="J19" s="31">
        <f t="shared" si="2"/>
        <v>25.231564800000008</v>
      </c>
      <c r="K19" s="31">
        <f t="shared" si="2"/>
        <v>26.240827392000011</v>
      </c>
      <c r="L19" s="31">
        <f t="shared" si="2"/>
        <v>27.290460487680011</v>
      </c>
      <c r="M19" s="31">
        <f t="shared" si="2"/>
        <v>28.382078907187214</v>
      </c>
      <c r="N19" s="46">
        <f t="shared" si="2"/>
        <v>29.517362063474703</v>
      </c>
      <c r="O19" s="11"/>
      <c r="P19" s="12"/>
      <c r="Q19" s="11"/>
      <c r="R19" s="13"/>
      <c r="S19" s="12"/>
      <c r="T19" s="13"/>
      <c r="U19" s="13"/>
      <c r="V19" s="13"/>
      <c r="W19" s="13"/>
      <c r="X19" s="13"/>
      <c r="Y19" s="13"/>
      <c r="Z19" s="13"/>
      <c r="AA19" s="13"/>
      <c r="AB19" s="13"/>
    </row>
    <row r="20" spans="1:28" s="14" customFormat="1" ht="12.75" thickBot="1" x14ac:dyDescent="0.25">
      <c r="A20" s="136"/>
      <c r="B20" s="47" t="s">
        <v>61</v>
      </c>
      <c r="C20" s="48" t="s">
        <v>62</v>
      </c>
      <c r="D20" s="47" t="s">
        <v>63</v>
      </c>
      <c r="E20" s="49">
        <v>8</v>
      </c>
      <c r="F20" s="50">
        <v>25.3</v>
      </c>
      <c r="G20" s="50">
        <f t="shared" si="1"/>
        <v>26.312000000000001</v>
      </c>
      <c r="H20" s="50">
        <v>27.324000000000002</v>
      </c>
      <c r="I20" s="50">
        <f t="shared" si="2"/>
        <v>28.416960000000003</v>
      </c>
      <c r="J20" s="50">
        <f t="shared" si="2"/>
        <v>29.553638400000004</v>
      </c>
      <c r="K20" s="50">
        <f t="shared" si="2"/>
        <v>30.735783936000004</v>
      </c>
      <c r="L20" s="50">
        <f t="shared" si="2"/>
        <v>31.965215293440007</v>
      </c>
      <c r="M20" s="50">
        <f t="shared" si="2"/>
        <v>33.243823905177607</v>
      </c>
      <c r="N20" s="51">
        <f t="shared" si="2"/>
        <v>34.573576861384709</v>
      </c>
      <c r="O20" s="11"/>
      <c r="P20" s="12"/>
      <c r="Q20" s="11"/>
      <c r="R20" s="13"/>
      <c r="S20" s="12"/>
      <c r="T20" s="13"/>
      <c r="U20" s="13"/>
      <c r="V20" s="13"/>
      <c r="W20" s="13"/>
      <c r="X20" s="13"/>
      <c r="Y20" s="13"/>
      <c r="Z20" s="13"/>
      <c r="AA20" s="13"/>
      <c r="AB20" s="13"/>
    </row>
    <row r="21" spans="1:28" s="14" customFormat="1" ht="12" x14ac:dyDescent="0.2">
      <c r="A21" s="134" t="s">
        <v>64</v>
      </c>
      <c r="B21" s="41" t="s">
        <v>65</v>
      </c>
      <c r="C21" s="42" t="s">
        <v>66</v>
      </c>
      <c r="D21" s="41" t="s">
        <v>67</v>
      </c>
      <c r="E21" s="43">
        <v>6</v>
      </c>
      <c r="F21" s="44">
        <v>17.5</v>
      </c>
      <c r="G21" s="44">
        <f t="shared" si="1"/>
        <v>18.2</v>
      </c>
      <c r="H21" s="44">
        <v>18.900000000000002</v>
      </c>
      <c r="I21" s="44">
        <f t="shared" si="2"/>
        <v>19.656000000000002</v>
      </c>
      <c r="J21" s="44">
        <f t="shared" si="2"/>
        <v>20.442240000000002</v>
      </c>
      <c r="K21" s="44">
        <f t="shared" si="2"/>
        <v>21.259929600000003</v>
      </c>
      <c r="L21" s="44">
        <f t="shared" si="2"/>
        <v>22.110326784000005</v>
      </c>
      <c r="M21" s="44">
        <f t="shared" si="2"/>
        <v>22.994739855360006</v>
      </c>
      <c r="N21" s="45">
        <f t="shared" si="2"/>
        <v>23.914529449574406</v>
      </c>
      <c r="O21" s="11"/>
      <c r="P21" s="12"/>
      <c r="Q21" s="11"/>
      <c r="R21" s="13"/>
      <c r="S21" s="12"/>
      <c r="T21" s="13"/>
      <c r="U21" s="13"/>
      <c r="V21" s="13"/>
      <c r="W21" s="13"/>
      <c r="X21" s="13"/>
      <c r="Y21" s="13"/>
      <c r="Z21" s="13"/>
      <c r="AA21" s="13"/>
      <c r="AB21" s="13"/>
    </row>
    <row r="22" spans="1:28" s="14" customFormat="1" ht="12" x14ac:dyDescent="0.2">
      <c r="A22" s="135"/>
      <c r="B22" s="28" t="s">
        <v>68</v>
      </c>
      <c r="C22" s="29" t="s">
        <v>69</v>
      </c>
      <c r="D22" s="28" t="s">
        <v>70</v>
      </c>
      <c r="E22" s="30">
        <v>6</v>
      </c>
      <c r="F22" s="31">
        <v>17.5</v>
      </c>
      <c r="G22" s="31">
        <f t="shared" si="1"/>
        <v>18.2</v>
      </c>
      <c r="H22" s="31">
        <v>18.900000000000002</v>
      </c>
      <c r="I22" s="31">
        <f t="shared" si="2"/>
        <v>19.656000000000002</v>
      </c>
      <c r="J22" s="31">
        <f t="shared" si="2"/>
        <v>20.442240000000002</v>
      </c>
      <c r="K22" s="31">
        <f t="shared" si="2"/>
        <v>21.259929600000003</v>
      </c>
      <c r="L22" s="31">
        <f t="shared" si="2"/>
        <v>22.110326784000005</v>
      </c>
      <c r="M22" s="31">
        <f t="shared" si="2"/>
        <v>22.994739855360006</v>
      </c>
      <c r="N22" s="46">
        <f t="shared" si="2"/>
        <v>23.914529449574406</v>
      </c>
      <c r="O22" s="11"/>
      <c r="P22" s="12"/>
      <c r="Q22" s="11"/>
      <c r="R22" s="13"/>
      <c r="S22" s="12"/>
      <c r="T22" s="13"/>
      <c r="U22" s="13"/>
      <c r="V22" s="13"/>
      <c r="W22" s="13"/>
      <c r="X22" s="13"/>
      <c r="Y22" s="13"/>
      <c r="Z22" s="13"/>
      <c r="AA22" s="13"/>
      <c r="AB22" s="13"/>
    </row>
    <row r="23" spans="1:28" s="14" customFormat="1" ht="12" x14ac:dyDescent="0.2">
      <c r="A23" s="135"/>
      <c r="B23" s="28" t="s">
        <v>71</v>
      </c>
      <c r="C23" s="29" t="s">
        <v>72</v>
      </c>
      <c r="D23" s="28" t="s">
        <v>73</v>
      </c>
      <c r="E23" s="30">
        <v>6</v>
      </c>
      <c r="F23" s="31">
        <v>17.5</v>
      </c>
      <c r="G23" s="31">
        <f t="shared" si="1"/>
        <v>18.2</v>
      </c>
      <c r="H23" s="31">
        <v>18.900000000000002</v>
      </c>
      <c r="I23" s="31">
        <f t="shared" si="2"/>
        <v>19.656000000000002</v>
      </c>
      <c r="J23" s="31">
        <f t="shared" si="2"/>
        <v>20.442240000000002</v>
      </c>
      <c r="K23" s="31">
        <f t="shared" si="2"/>
        <v>21.259929600000003</v>
      </c>
      <c r="L23" s="31">
        <f t="shared" si="2"/>
        <v>22.110326784000005</v>
      </c>
      <c r="M23" s="31">
        <f t="shared" si="2"/>
        <v>22.994739855360006</v>
      </c>
      <c r="N23" s="46">
        <f t="shared" si="2"/>
        <v>23.914529449574406</v>
      </c>
      <c r="O23" s="11"/>
      <c r="P23" s="12"/>
      <c r="Q23" s="11"/>
      <c r="R23" s="13"/>
      <c r="S23" s="12"/>
      <c r="T23" s="13"/>
      <c r="U23" s="13"/>
      <c r="V23" s="13"/>
      <c r="W23" s="13"/>
      <c r="X23" s="13"/>
      <c r="Y23" s="13"/>
      <c r="Z23" s="13"/>
      <c r="AA23" s="13"/>
      <c r="AB23" s="13"/>
    </row>
    <row r="24" spans="1:28" s="14" customFormat="1" ht="12" x14ac:dyDescent="0.2">
      <c r="A24" s="135"/>
      <c r="B24" s="28" t="s">
        <v>74</v>
      </c>
      <c r="C24" s="29" t="s">
        <v>75</v>
      </c>
      <c r="D24" s="28" t="s">
        <v>76</v>
      </c>
      <c r="E24" s="30">
        <v>4</v>
      </c>
      <c r="F24" s="31">
        <v>29.6</v>
      </c>
      <c r="G24" s="31">
        <f t="shared" si="1"/>
        <v>30.784000000000002</v>
      </c>
      <c r="H24" s="31">
        <v>31.968000000000004</v>
      </c>
      <c r="I24" s="31">
        <f t="shared" si="2"/>
        <v>33.246720000000003</v>
      </c>
      <c r="J24" s="31">
        <f t="shared" si="2"/>
        <v>34.576588800000003</v>
      </c>
      <c r="K24" s="31">
        <f t="shared" si="2"/>
        <v>35.959652352000006</v>
      </c>
      <c r="L24" s="31">
        <f t="shared" si="2"/>
        <v>37.398038446080008</v>
      </c>
      <c r="M24" s="31">
        <f t="shared" si="2"/>
        <v>38.89395998392321</v>
      </c>
      <c r="N24" s="46">
        <f t="shared" si="2"/>
        <v>40.449718383280143</v>
      </c>
      <c r="O24" s="11"/>
      <c r="P24" s="12"/>
      <c r="Q24" s="11"/>
      <c r="R24" s="13"/>
      <c r="S24" s="12"/>
      <c r="T24" s="13"/>
      <c r="U24" s="13"/>
      <c r="V24" s="13"/>
      <c r="W24" s="13"/>
      <c r="X24" s="13"/>
      <c r="Y24" s="13"/>
      <c r="Z24" s="13"/>
      <c r="AA24" s="13"/>
      <c r="AB24" s="13"/>
    </row>
    <row r="25" spans="1:28" s="14" customFormat="1" ht="12.75" thickBot="1" x14ac:dyDescent="0.25">
      <c r="A25" s="136"/>
      <c r="B25" s="47" t="s">
        <v>77</v>
      </c>
      <c r="C25" s="48" t="s">
        <v>78</v>
      </c>
      <c r="D25" s="47" t="s">
        <v>79</v>
      </c>
      <c r="E25" s="49">
        <v>4</v>
      </c>
      <c r="F25" s="50">
        <v>29.6</v>
      </c>
      <c r="G25" s="50">
        <f t="shared" si="1"/>
        <v>30.784000000000002</v>
      </c>
      <c r="H25" s="50">
        <v>31.968000000000004</v>
      </c>
      <c r="I25" s="50">
        <f t="shared" si="2"/>
        <v>33.246720000000003</v>
      </c>
      <c r="J25" s="50">
        <f t="shared" si="2"/>
        <v>34.576588800000003</v>
      </c>
      <c r="K25" s="50">
        <f t="shared" si="2"/>
        <v>35.959652352000006</v>
      </c>
      <c r="L25" s="50">
        <f t="shared" si="2"/>
        <v>37.398038446080008</v>
      </c>
      <c r="M25" s="50">
        <f t="shared" si="2"/>
        <v>38.89395998392321</v>
      </c>
      <c r="N25" s="51">
        <f t="shared" si="2"/>
        <v>40.449718383280143</v>
      </c>
      <c r="O25" s="11"/>
      <c r="P25" s="12"/>
      <c r="Q25" s="11"/>
      <c r="R25" s="13"/>
      <c r="S25" s="12"/>
      <c r="T25" s="13"/>
      <c r="U25" s="13"/>
      <c r="V25" s="13"/>
      <c r="W25" s="13"/>
      <c r="X25" s="13"/>
      <c r="Y25" s="13"/>
      <c r="Z25" s="13"/>
      <c r="AA25" s="13"/>
      <c r="AB25" s="13"/>
    </row>
    <row r="26" spans="1:28" s="14" customFormat="1" ht="12" x14ac:dyDescent="0.2">
      <c r="A26" s="134">
        <v>2000</v>
      </c>
      <c r="B26" s="41" t="s">
        <v>80</v>
      </c>
      <c r="C26" s="42" t="s">
        <v>81</v>
      </c>
      <c r="D26" s="41" t="s">
        <v>82</v>
      </c>
      <c r="E26" s="43">
        <v>15</v>
      </c>
      <c r="F26" s="44">
        <v>27.3</v>
      </c>
      <c r="G26" s="44">
        <f t="shared" si="1"/>
        <v>28.392000000000003</v>
      </c>
      <c r="H26" s="44">
        <v>29.484000000000002</v>
      </c>
      <c r="I26" s="44">
        <f t="shared" si="2"/>
        <v>30.663360000000004</v>
      </c>
      <c r="J26" s="44">
        <f t="shared" si="2"/>
        <v>31.889894400000006</v>
      </c>
      <c r="K26" s="44">
        <f t="shared" si="2"/>
        <v>33.165490176000006</v>
      </c>
      <c r="L26" s="44">
        <f t="shared" ref="L26:N26" si="3">K26*1.04</f>
        <v>34.492109783040007</v>
      </c>
      <c r="M26" s="44">
        <f t="shared" si="3"/>
        <v>35.871794174361611</v>
      </c>
      <c r="N26" s="45">
        <f t="shared" si="3"/>
        <v>37.306665941336078</v>
      </c>
      <c r="O26" s="11"/>
      <c r="P26" s="12"/>
      <c r="Q26" s="11"/>
      <c r="R26" s="13"/>
      <c r="S26" s="12"/>
      <c r="T26" s="13"/>
      <c r="U26" s="13"/>
      <c r="V26" s="13"/>
      <c r="W26" s="13"/>
      <c r="X26" s="13"/>
      <c r="Y26" s="13"/>
      <c r="Z26" s="13"/>
      <c r="AA26" s="13"/>
      <c r="AB26" s="13"/>
    </row>
    <row r="27" spans="1:28" s="14" customFormat="1" ht="12" x14ac:dyDescent="0.2">
      <c r="A27" s="135"/>
      <c r="B27" s="28" t="s">
        <v>83</v>
      </c>
      <c r="C27" s="29" t="s">
        <v>84</v>
      </c>
      <c r="D27" s="28" t="s">
        <v>85</v>
      </c>
      <c r="E27" s="30">
        <v>4</v>
      </c>
      <c r="F27" s="31">
        <v>34.1</v>
      </c>
      <c r="G27" s="31">
        <f t="shared" si="1"/>
        <v>35.464000000000006</v>
      </c>
      <c r="H27" s="31">
        <v>36.828000000000003</v>
      </c>
      <c r="I27" s="31">
        <f t="shared" si="2"/>
        <v>38.301120000000004</v>
      </c>
      <c r="J27" s="31">
        <f t="shared" si="2"/>
        <v>39.833164800000006</v>
      </c>
      <c r="K27" s="31">
        <f t="shared" si="2"/>
        <v>41.42649139200001</v>
      </c>
      <c r="L27" s="31">
        <f t="shared" ref="L27:N27" si="4">K27*1.04</f>
        <v>43.083551047680011</v>
      </c>
      <c r="M27" s="31">
        <f t="shared" si="4"/>
        <v>44.806893089587213</v>
      </c>
      <c r="N27" s="46">
        <f t="shared" si="4"/>
        <v>46.599168813170706</v>
      </c>
      <c r="O27" s="11"/>
      <c r="P27" s="12"/>
      <c r="Q27" s="11"/>
      <c r="R27" s="13"/>
      <c r="S27" s="12"/>
      <c r="T27" s="13"/>
      <c r="U27" s="13"/>
      <c r="V27" s="13"/>
      <c r="W27" s="13"/>
      <c r="X27" s="13"/>
      <c r="Y27" s="13"/>
      <c r="Z27" s="13"/>
      <c r="AA27" s="13"/>
      <c r="AB27" s="13"/>
    </row>
    <row r="28" spans="1:28" s="14" customFormat="1" ht="12" x14ac:dyDescent="0.2">
      <c r="A28" s="135"/>
      <c r="B28" s="28" t="s">
        <v>86</v>
      </c>
      <c r="C28" s="29" t="s">
        <v>87</v>
      </c>
      <c r="D28" s="28" t="s">
        <v>88</v>
      </c>
      <c r="E28" s="30">
        <v>12</v>
      </c>
      <c r="F28" s="31">
        <v>36.300000000000004</v>
      </c>
      <c r="G28" s="31">
        <f t="shared" si="1"/>
        <v>37.752000000000002</v>
      </c>
      <c r="H28" s="31">
        <v>39.204000000000008</v>
      </c>
      <c r="I28" s="31">
        <f t="shared" si="2"/>
        <v>40.772160000000007</v>
      </c>
      <c r="J28" s="31">
        <f t="shared" si="2"/>
        <v>42.403046400000008</v>
      </c>
      <c r="K28" s="31">
        <f t="shared" si="2"/>
        <v>44.099168256000013</v>
      </c>
      <c r="L28" s="31">
        <f t="shared" ref="L28:N28" si="5">K28*1.04</f>
        <v>45.863134986240013</v>
      </c>
      <c r="M28" s="31">
        <f t="shared" si="5"/>
        <v>47.697660385689616</v>
      </c>
      <c r="N28" s="46">
        <f t="shared" si="5"/>
        <v>49.605566801117206</v>
      </c>
      <c r="O28" s="11"/>
      <c r="P28" s="12"/>
      <c r="Q28" s="11"/>
      <c r="R28" s="13"/>
      <c r="S28" s="12"/>
      <c r="T28" s="13"/>
      <c r="U28" s="13"/>
      <c r="V28" s="13"/>
      <c r="W28" s="13"/>
      <c r="X28" s="13"/>
      <c r="Y28" s="13"/>
      <c r="Z28" s="13"/>
      <c r="AA28" s="13"/>
      <c r="AB28" s="13"/>
    </row>
    <row r="29" spans="1:28" s="14" customFormat="1" ht="12" x14ac:dyDescent="0.2">
      <c r="A29" s="135"/>
      <c r="B29" s="32" t="s">
        <v>89</v>
      </c>
      <c r="C29" s="29" t="s">
        <v>90</v>
      </c>
      <c r="D29" s="28" t="s">
        <v>91</v>
      </c>
      <c r="E29" s="30">
        <v>4</v>
      </c>
      <c r="F29" s="31">
        <v>39.6</v>
      </c>
      <c r="G29" s="31">
        <f t="shared" si="1"/>
        <v>41.184000000000005</v>
      </c>
      <c r="H29" s="31">
        <v>42.768000000000008</v>
      </c>
      <c r="I29" s="31">
        <f t="shared" si="2"/>
        <v>44.47872000000001</v>
      </c>
      <c r="J29" s="31">
        <f t="shared" si="2"/>
        <v>46.257868800000011</v>
      </c>
      <c r="K29" s="31">
        <f t="shared" si="2"/>
        <v>48.108183552000014</v>
      </c>
      <c r="L29" s="31">
        <f t="shared" ref="L29:N29" si="6">K29*1.04</f>
        <v>50.032510894080019</v>
      </c>
      <c r="M29" s="31">
        <f t="shared" si="6"/>
        <v>52.033811329843225</v>
      </c>
      <c r="N29" s="46">
        <f t="shared" si="6"/>
        <v>54.115163783036955</v>
      </c>
      <c r="O29" s="11"/>
      <c r="P29" s="12"/>
      <c r="Q29" s="11"/>
      <c r="R29" s="13"/>
      <c r="S29" s="12"/>
      <c r="T29" s="13"/>
      <c r="U29" s="13"/>
      <c r="V29" s="13"/>
      <c r="W29" s="13"/>
      <c r="X29" s="13"/>
      <c r="Y29" s="13"/>
      <c r="Z29" s="13"/>
      <c r="AA29" s="13"/>
      <c r="AB29" s="13"/>
    </row>
    <row r="30" spans="1:28" s="14" customFormat="1" ht="12" x14ac:dyDescent="0.2">
      <c r="A30" s="135"/>
      <c r="B30" s="28" t="s">
        <v>92</v>
      </c>
      <c r="C30" s="29" t="s">
        <v>93</v>
      </c>
      <c r="D30" s="28" t="s">
        <v>94</v>
      </c>
      <c r="E30" s="30">
        <v>4</v>
      </c>
      <c r="F30" s="31">
        <v>38.200000000000003</v>
      </c>
      <c r="G30" s="31">
        <f t="shared" si="1"/>
        <v>39.728000000000002</v>
      </c>
      <c r="H30" s="31">
        <v>41.256000000000007</v>
      </c>
      <c r="I30" s="31">
        <f t="shared" si="2"/>
        <v>42.906240000000011</v>
      </c>
      <c r="J30" s="31">
        <f t="shared" si="2"/>
        <v>44.622489600000016</v>
      </c>
      <c r="K30" s="31">
        <f t="shared" si="2"/>
        <v>46.407389184000017</v>
      </c>
      <c r="L30" s="31">
        <f t="shared" ref="L30:N30" si="7">K30*1.04</f>
        <v>48.263684751360017</v>
      </c>
      <c r="M30" s="31">
        <f t="shared" si="7"/>
        <v>50.194232141414417</v>
      </c>
      <c r="N30" s="46">
        <f t="shared" si="7"/>
        <v>52.202001427070996</v>
      </c>
      <c r="O30" s="11"/>
      <c r="P30" s="12"/>
      <c r="Q30" s="11"/>
      <c r="R30" s="13"/>
      <c r="S30" s="12"/>
      <c r="T30" s="13"/>
      <c r="U30" s="13"/>
      <c r="V30" s="13"/>
      <c r="W30" s="13"/>
      <c r="X30" s="13"/>
      <c r="Y30" s="13"/>
      <c r="Z30" s="13"/>
      <c r="AA30" s="13"/>
      <c r="AB30" s="13"/>
    </row>
    <row r="31" spans="1:28" s="14" customFormat="1" ht="12" x14ac:dyDescent="0.2">
      <c r="A31" s="135"/>
      <c r="B31" s="28" t="s">
        <v>95</v>
      </c>
      <c r="C31" s="29" t="s">
        <v>96</v>
      </c>
      <c r="D31" s="28" t="s">
        <v>97</v>
      </c>
      <c r="E31" s="30">
        <v>8</v>
      </c>
      <c r="F31" s="31">
        <v>39.1</v>
      </c>
      <c r="G31" s="31">
        <f t="shared" si="1"/>
        <v>40.664000000000001</v>
      </c>
      <c r="H31" s="31">
        <v>42.228000000000002</v>
      </c>
      <c r="I31" s="31">
        <f t="shared" si="2"/>
        <v>43.917120000000004</v>
      </c>
      <c r="J31" s="31">
        <f t="shared" si="2"/>
        <v>45.673804800000006</v>
      </c>
      <c r="K31" s="31">
        <f t="shared" si="2"/>
        <v>47.500756992000007</v>
      </c>
      <c r="L31" s="31">
        <f t="shared" ref="L31:N31" si="8">K31*1.04</f>
        <v>49.400787271680009</v>
      </c>
      <c r="M31" s="31">
        <f t="shared" si="8"/>
        <v>51.376818762547209</v>
      </c>
      <c r="N31" s="46">
        <f t="shared" si="8"/>
        <v>53.431891513049102</v>
      </c>
      <c r="O31" s="11"/>
      <c r="P31" s="12"/>
      <c r="Q31" s="11"/>
      <c r="R31" s="13"/>
      <c r="S31" s="12"/>
      <c r="T31" s="13"/>
      <c r="U31" s="13"/>
      <c r="V31" s="13"/>
      <c r="W31" s="13"/>
      <c r="X31" s="13"/>
      <c r="Y31" s="13"/>
      <c r="Z31" s="13"/>
      <c r="AA31" s="13"/>
      <c r="AB31" s="13"/>
    </row>
    <row r="32" spans="1:28" s="14" customFormat="1" ht="12" x14ac:dyDescent="0.2">
      <c r="A32" s="135"/>
      <c r="B32" s="28" t="s">
        <v>98</v>
      </c>
      <c r="C32" s="29" t="s">
        <v>99</v>
      </c>
      <c r="D32" s="28" t="s">
        <v>100</v>
      </c>
      <c r="E32" s="30">
        <v>4</v>
      </c>
      <c r="F32" s="31">
        <v>49.5</v>
      </c>
      <c r="G32" s="31">
        <f t="shared" si="1"/>
        <v>51.480000000000004</v>
      </c>
      <c r="H32" s="31">
        <v>53.46</v>
      </c>
      <c r="I32" s="31">
        <f t="shared" si="2"/>
        <v>55.598400000000005</v>
      </c>
      <c r="J32" s="31">
        <f t="shared" si="2"/>
        <v>57.822336000000007</v>
      </c>
      <c r="K32" s="31">
        <f t="shared" si="2"/>
        <v>60.13522944000001</v>
      </c>
      <c r="L32" s="31">
        <f t="shared" ref="L32:N32" si="9">K32*1.04</f>
        <v>62.54063861760001</v>
      </c>
      <c r="M32" s="31">
        <f t="shared" si="9"/>
        <v>65.042264162304008</v>
      </c>
      <c r="N32" s="46">
        <f t="shared" si="9"/>
        <v>67.643954728796174</v>
      </c>
      <c r="O32" s="11"/>
      <c r="P32" s="12"/>
      <c r="Q32" s="11"/>
      <c r="R32" s="13"/>
      <c r="S32" s="12"/>
      <c r="T32" s="13"/>
      <c r="U32" s="13"/>
      <c r="V32" s="13"/>
      <c r="W32" s="13"/>
      <c r="X32" s="13"/>
      <c r="Y32" s="13"/>
      <c r="Z32" s="13"/>
      <c r="AA32" s="13"/>
      <c r="AB32" s="13"/>
    </row>
    <row r="33" spans="1:28" s="14" customFormat="1" ht="12.75" thickBot="1" x14ac:dyDescent="0.25">
      <c r="A33" s="136"/>
      <c r="B33" s="47" t="s">
        <v>101</v>
      </c>
      <c r="C33" s="48" t="s">
        <v>102</v>
      </c>
      <c r="D33" s="47" t="s">
        <v>103</v>
      </c>
      <c r="E33" s="49">
        <v>4</v>
      </c>
      <c r="F33" s="50">
        <v>47.6</v>
      </c>
      <c r="G33" s="50">
        <f t="shared" si="1"/>
        <v>49.504000000000005</v>
      </c>
      <c r="H33" s="50">
        <v>51.408000000000008</v>
      </c>
      <c r="I33" s="50">
        <f t="shared" si="2"/>
        <v>53.464320000000008</v>
      </c>
      <c r="J33" s="50">
        <f t="shared" si="2"/>
        <v>55.602892800000014</v>
      </c>
      <c r="K33" s="50">
        <f t="shared" si="2"/>
        <v>57.827008512000013</v>
      </c>
      <c r="L33" s="50">
        <f t="shared" ref="L33:N33" si="10">K33*1.04</f>
        <v>60.140088852480012</v>
      </c>
      <c r="M33" s="50">
        <f t="shared" si="10"/>
        <v>62.545692406579214</v>
      </c>
      <c r="N33" s="51">
        <f t="shared" si="10"/>
        <v>65.047520102842384</v>
      </c>
      <c r="O33" s="11"/>
      <c r="P33" s="12"/>
      <c r="Q33" s="11"/>
      <c r="R33" s="13"/>
      <c r="S33" s="12"/>
      <c r="T33" s="13"/>
      <c r="U33" s="13"/>
      <c r="V33" s="13"/>
      <c r="W33" s="13"/>
      <c r="X33" s="13"/>
      <c r="Y33" s="13"/>
      <c r="Z33" s="13"/>
      <c r="AA33" s="13"/>
      <c r="AB33" s="13"/>
    </row>
    <row r="34" spans="1:28" s="14" customFormat="1" ht="12" x14ac:dyDescent="0.2">
      <c r="A34" s="134">
        <v>2001</v>
      </c>
      <c r="B34" s="41" t="s">
        <v>104</v>
      </c>
      <c r="C34" s="42" t="s">
        <v>105</v>
      </c>
      <c r="D34" s="41" t="s">
        <v>106</v>
      </c>
      <c r="E34" s="43">
        <v>15</v>
      </c>
      <c r="F34" s="44">
        <v>20.5</v>
      </c>
      <c r="G34" s="44">
        <f t="shared" si="1"/>
        <v>21.32</v>
      </c>
      <c r="H34" s="44">
        <v>22.14</v>
      </c>
      <c r="I34" s="44">
        <f t="shared" si="2"/>
        <v>23.025600000000001</v>
      </c>
      <c r="J34" s="44">
        <f t="shared" si="2"/>
        <v>23.946624</v>
      </c>
      <c r="K34" s="44">
        <f t="shared" si="2"/>
        <v>24.904488960000002</v>
      </c>
      <c r="L34" s="44">
        <f t="shared" ref="L34:N34" si="11">K34*1.04</f>
        <v>25.900668518400003</v>
      </c>
      <c r="M34" s="44">
        <f t="shared" si="11"/>
        <v>26.936695259136005</v>
      </c>
      <c r="N34" s="45">
        <f t="shared" si="11"/>
        <v>28.014163069501446</v>
      </c>
      <c r="O34" s="11"/>
      <c r="P34" s="12"/>
      <c r="Q34" s="11"/>
      <c r="R34" s="13"/>
      <c r="S34" s="12"/>
      <c r="T34" s="13"/>
      <c r="U34" s="13"/>
      <c r="V34" s="13"/>
      <c r="W34" s="13"/>
      <c r="X34" s="13"/>
      <c r="Y34" s="13"/>
      <c r="Z34" s="13"/>
      <c r="AA34" s="13"/>
      <c r="AB34" s="13"/>
    </row>
    <row r="35" spans="1:28" s="14" customFormat="1" ht="12" x14ac:dyDescent="0.2">
      <c r="A35" s="135"/>
      <c r="B35" s="28" t="s">
        <v>107</v>
      </c>
      <c r="C35" s="29" t="s">
        <v>108</v>
      </c>
      <c r="D35" s="28" t="s">
        <v>109</v>
      </c>
      <c r="E35" s="30">
        <v>12</v>
      </c>
      <c r="F35" s="31">
        <v>29</v>
      </c>
      <c r="G35" s="31">
        <f t="shared" si="1"/>
        <v>30.16</v>
      </c>
      <c r="H35" s="31">
        <v>31.32</v>
      </c>
      <c r="I35" s="31">
        <f t="shared" si="2"/>
        <v>32.572800000000001</v>
      </c>
      <c r="J35" s="31">
        <f t="shared" si="2"/>
        <v>33.875712</v>
      </c>
      <c r="K35" s="31">
        <f t="shared" si="2"/>
        <v>35.230740480000001</v>
      </c>
      <c r="L35" s="31">
        <f t="shared" ref="L35:N35" si="12">K35*1.04</f>
        <v>36.639970099199999</v>
      </c>
      <c r="M35" s="31">
        <f t="shared" si="12"/>
        <v>38.105568903167999</v>
      </c>
      <c r="N35" s="46">
        <f t="shared" si="12"/>
        <v>39.629791659294717</v>
      </c>
      <c r="O35" s="11"/>
      <c r="P35" s="12"/>
      <c r="Q35" s="11"/>
      <c r="R35" s="13"/>
      <c r="S35" s="12"/>
      <c r="T35" s="13"/>
      <c r="U35" s="13"/>
      <c r="V35" s="13"/>
      <c r="W35" s="13"/>
      <c r="X35" s="13"/>
      <c r="Y35" s="13"/>
      <c r="Z35" s="13"/>
      <c r="AA35" s="13"/>
      <c r="AB35" s="13"/>
    </row>
    <row r="36" spans="1:28" s="14" customFormat="1" ht="12" x14ac:dyDescent="0.2">
      <c r="A36" s="135"/>
      <c r="B36" s="28" t="s">
        <v>110</v>
      </c>
      <c r="C36" s="29" t="s">
        <v>111</v>
      </c>
      <c r="D36" s="28" t="s">
        <v>112</v>
      </c>
      <c r="E36" s="30">
        <v>15</v>
      </c>
      <c r="F36" s="31">
        <v>22.8</v>
      </c>
      <c r="G36" s="31">
        <f t="shared" si="1"/>
        <v>23.712000000000003</v>
      </c>
      <c r="H36" s="31">
        <v>24.624000000000002</v>
      </c>
      <c r="I36" s="31">
        <f t="shared" si="2"/>
        <v>25.608960000000003</v>
      </c>
      <c r="J36" s="31">
        <f t="shared" si="2"/>
        <v>26.633318400000004</v>
      </c>
      <c r="K36" s="31">
        <f t="shared" si="2"/>
        <v>27.698651136000006</v>
      </c>
      <c r="L36" s="31">
        <f t="shared" ref="L36:N36" si="13">K36*1.04</f>
        <v>28.806597181440008</v>
      </c>
      <c r="M36" s="31">
        <f t="shared" si="13"/>
        <v>29.958861068697608</v>
      </c>
      <c r="N36" s="46">
        <f t="shared" si="13"/>
        <v>31.157215511445514</v>
      </c>
      <c r="O36" s="11"/>
      <c r="P36" s="12"/>
      <c r="Q36" s="11"/>
      <c r="R36" s="13"/>
      <c r="S36" s="12"/>
      <c r="T36" s="13"/>
      <c r="U36" s="13"/>
      <c r="V36" s="13"/>
      <c r="W36" s="13"/>
      <c r="X36" s="13"/>
      <c r="Y36" s="13"/>
      <c r="Z36" s="13"/>
      <c r="AA36" s="13"/>
      <c r="AB36" s="13"/>
    </row>
    <row r="37" spans="1:28" s="14" customFormat="1" ht="12" x14ac:dyDescent="0.2">
      <c r="A37" s="135"/>
      <c r="B37" s="28" t="s">
        <v>113</v>
      </c>
      <c r="C37" s="29" t="s">
        <v>114</v>
      </c>
      <c r="D37" s="28" t="s">
        <v>115</v>
      </c>
      <c r="E37" s="30">
        <v>15</v>
      </c>
      <c r="F37" s="31">
        <v>22.8</v>
      </c>
      <c r="G37" s="31">
        <f t="shared" si="1"/>
        <v>23.712000000000003</v>
      </c>
      <c r="H37" s="31">
        <v>24.624000000000002</v>
      </c>
      <c r="I37" s="31">
        <f t="shared" si="2"/>
        <v>25.608960000000003</v>
      </c>
      <c r="J37" s="31">
        <f t="shared" si="2"/>
        <v>26.633318400000004</v>
      </c>
      <c r="K37" s="31">
        <f t="shared" si="2"/>
        <v>27.698651136000006</v>
      </c>
      <c r="L37" s="31">
        <f t="shared" ref="L37:N37" si="14">K37*1.04</f>
        <v>28.806597181440008</v>
      </c>
      <c r="M37" s="31">
        <f t="shared" si="14"/>
        <v>29.958861068697608</v>
      </c>
      <c r="N37" s="46">
        <f t="shared" si="14"/>
        <v>31.157215511445514</v>
      </c>
      <c r="O37" s="11"/>
      <c r="P37" s="12"/>
      <c r="Q37" s="11"/>
      <c r="R37" s="13"/>
      <c r="S37" s="12"/>
      <c r="T37" s="13"/>
      <c r="U37" s="13"/>
      <c r="V37" s="13"/>
      <c r="W37" s="13"/>
      <c r="X37" s="13"/>
      <c r="Y37" s="13"/>
      <c r="Z37" s="13"/>
      <c r="AA37" s="13"/>
      <c r="AB37" s="13"/>
    </row>
    <row r="38" spans="1:28" s="14" customFormat="1" ht="12" x14ac:dyDescent="0.2">
      <c r="A38" s="135"/>
      <c r="B38" s="28" t="s">
        <v>116</v>
      </c>
      <c r="C38" s="29" t="s">
        <v>117</v>
      </c>
      <c r="D38" s="28" t="s">
        <v>118</v>
      </c>
      <c r="E38" s="30">
        <v>8</v>
      </c>
      <c r="F38" s="31">
        <v>31.3</v>
      </c>
      <c r="G38" s="31">
        <f t="shared" si="1"/>
        <v>32.552</v>
      </c>
      <c r="H38" s="31">
        <v>33.804000000000002</v>
      </c>
      <c r="I38" s="31">
        <f t="shared" si="2"/>
        <v>35.15616</v>
      </c>
      <c r="J38" s="31">
        <f t="shared" si="2"/>
        <v>36.5624064</v>
      </c>
      <c r="K38" s="31">
        <f t="shared" si="2"/>
        <v>38.024902656000002</v>
      </c>
      <c r="L38" s="31">
        <f t="shared" ref="L38:N38" si="15">K38*1.04</f>
        <v>39.54589876224</v>
      </c>
      <c r="M38" s="31">
        <f t="shared" si="15"/>
        <v>41.127734712729598</v>
      </c>
      <c r="N38" s="46">
        <f t="shared" si="15"/>
        <v>42.772844101238782</v>
      </c>
      <c r="O38" s="11"/>
      <c r="P38" s="12"/>
      <c r="Q38" s="11"/>
      <c r="R38" s="13"/>
      <c r="S38" s="12"/>
      <c r="T38" s="13"/>
      <c r="U38" s="13"/>
      <c r="V38" s="13"/>
      <c r="W38" s="13"/>
      <c r="X38" s="13"/>
      <c r="Y38" s="13"/>
      <c r="Z38" s="13"/>
      <c r="AA38" s="13"/>
      <c r="AB38" s="13"/>
    </row>
    <row r="39" spans="1:28" s="14" customFormat="1" ht="12.75" thickBot="1" x14ac:dyDescent="0.25">
      <c r="A39" s="136"/>
      <c r="B39" s="47" t="s">
        <v>119</v>
      </c>
      <c r="C39" s="48" t="s">
        <v>120</v>
      </c>
      <c r="D39" s="47" t="s">
        <v>121</v>
      </c>
      <c r="E39" s="49">
        <v>4</v>
      </c>
      <c r="F39" s="50">
        <v>35.729999999999997</v>
      </c>
      <c r="G39" s="50">
        <f t="shared" si="1"/>
        <v>37.159199999999998</v>
      </c>
      <c r="H39" s="50">
        <v>38.5884</v>
      </c>
      <c r="I39" s="50">
        <f t="shared" si="2"/>
        <v>40.131936000000003</v>
      </c>
      <c r="J39" s="50">
        <f t="shared" si="2"/>
        <v>41.737213440000005</v>
      </c>
      <c r="K39" s="50">
        <f t="shared" si="2"/>
        <v>43.406701977600008</v>
      </c>
      <c r="L39" s="50">
        <f t="shared" ref="L39:N39" si="16">K39*1.04</f>
        <v>45.142970056704009</v>
      </c>
      <c r="M39" s="50">
        <f t="shared" si="16"/>
        <v>46.948688858972169</v>
      </c>
      <c r="N39" s="51">
        <f t="shared" si="16"/>
        <v>48.826636413331059</v>
      </c>
      <c r="O39" s="11"/>
      <c r="P39" s="12"/>
      <c r="Q39" s="11"/>
      <c r="R39" s="13"/>
      <c r="S39" s="12"/>
      <c r="T39" s="13"/>
      <c r="U39" s="13"/>
      <c r="V39" s="13"/>
      <c r="W39" s="13"/>
      <c r="X39" s="13"/>
      <c r="Y39" s="13"/>
      <c r="Z39" s="13"/>
      <c r="AA39" s="13"/>
      <c r="AB39" s="13"/>
    </row>
    <row r="40" spans="1:28" s="14" customFormat="1" ht="12" x14ac:dyDescent="0.2">
      <c r="A40" s="122" t="s">
        <v>122</v>
      </c>
      <c r="B40" s="52" t="s">
        <v>123</v>
      </c>
      <c r="C40" s="53" t="s">
        <v>124</v>
      </c>
      <c r="D40" s="52" t="s">
        <v>125</v>
      </c>
      <c r="E40" s="54">
        <v>15</v>
      </c>
      <c r="F40" s="44">
        <v>28.5</v>
      </c>
      <c r="G40" s="44">
        <f t="shared" si="1"/>
        <v>29.64</v>
      </c>
      <c r="H40" s="44">
        <v>30.78</v>
      </c>
      <c r="I40" s="44">
        <f t="shared" si="2"/>
        <v>32.011200000000002</v>
      </c>
      <c r="J40" s="44">
        <f t="shared" si="2"/>
        <v>33.291648000000002</v>
      </c>
      <c r="K40" s="44">
        <f t="shared" si="2"/>
        <v>34.623313920000001</v>
      </c>
      <c r="L40" s="44">
        <f t="shared" ref="L40:N40" si="17">K40*1.04</f>
        <v>36.008246476800004</v>
      </c>
      <c r="M40" s="44">
        <f t="shared" si="17"/>
        <v>37.448576335872005</v>
      </c>
      <c r="N40" s="45">
        <f t="shared" si="17"/>
        <v>38.946519389306886</v>
      </c>
      <c r="O40" s="11"/>
      <c r="P40" s="12"/>
      <c r="Q40" s="11"/>
      <c r="R40" s="13"/>
      <c r="S40" s="12"/>
      <c r="T40" s="13"/>
      <c r="U40" s="13"/>
      <c r="V40" s="13"/>
      <c r="W40" s="13"/>
      <c r="X40" s="13"/>
      <c r="Y40" s="13"/>
      <c r="Z40" s="13"/>
      <c r="AA40" s="13"/>
      <c r="AB40" s="13"/>
    </row>
    <row r="41" spans="1:28" s="14" customFormat="1" ht="12" x14ac:dyDescent="0.2">
      <c r="A41" s="123"/>
      <c r="B41" s="32" t="s">
        <v>126</v>
      </c>
      <c r="C41" s="33" t="s">
        <v>127</v>
      </c>
      <c r="D41" s="32" t="s">
        <v>128</v>
      </c>
      <c r="E41" s="34">
        <v>15</v>
      </c>
      <c r="F41" s="31">
        <v>30.700000000000003</v>
      </c>
      <c r="G41" s="31">
        <f t="shared" si="1"/>
        <v>31.928000000000004</v>
      </c>
      <c r="H41" s="31">
        <v>33.156000000000006</v>
      </c>
      <c r="I41" s="31">
        <f t="shared" si="2"/>
        <v>34.482240000000004</v>
      </c>
      <c r="J41" s="31">
        <f t="shared" si="2"/>
        <v>35.861529600000004</v>
      </c>
      <c r="K41" s="31">
        <f t="shared" si="2"/>
        <v>37.295990784000004</v>
      </c>
      <c r="L41" s="31">
        <f t="shared" ref="L41:N41" si="18">K41*1.04</f>
        <v>38.787830415360006</v>
      </c>
      <c r="M41" s="31">
        <f t="shared" si="18"/>
        <v>40.339343631974408</v>
      </c>
      <c r="N41" s="46">
        <f t="shared" si="18"/>
        <v>41.952917377253385</v>
      </c>
      <c r="O41" s="11"/>
      <c r="P41" s="12"/>
      <c r="Q41" s="11"/>
      <c r="R41" s="13"/>
      <c r="S41" s="12"/>
      <c r="T41" s="13"/>
      <c r="U41" s="13"/>
      <c r="V41" s="13"/>
      <c r="W41" s="13"/>
      <c r="X41" s="13"/>
      <c r="Y41" s="13"/>
      <c r="Z41" s="13"/>
      <c r="AA41" s="13"/>
      <c r="AB41" s="13"/>
    </row>
    <row r="42" spans="1:28" s="14" customFormat="1" ht="12" x14ac:dyDescent="0.2">
      <c r="A42" s="123"/>
      <c r="B42" s="32" t="s">
        <v>129</v>
      </c>
      <c r="C42" s="33" t="s">
        <v>130</v>
      </c>
      <c r="D42" s="32" t="s">
        <v>131</v>
      </c>
      <c r="E42" s="34">
        <v>6</v>
      </c>
      <c r="F42" s="31">
        <v>32.5</v>
      </c>
      <c r="G42" s="31">
        <f t="shared" si="1"/>
        <v>33.800000000000004</v>
      </c>
      <c r="H42" s="31">
        <v>35.1</v>
      </c>
      <c r="I42" s="31">
        <f t="shared" si="2"/>
        <v>36.504000000000005</v>
      </c>
      <c r="J42" s="31">
        <f t="shared" si="2"/>
        <v>37.964160000000007</v>
      </c>
      <c r="K42" s="31">
        <f t="shared" si="2"/>
        <v>39.482726400000011</v>
      </c>
      <c r="L42" s="31">
        <f t="shared" ref="L42:N42" si="19">K42*1.04</f>
        <v>41.062035456000011</v>
      </c>
      <c r="M42" s="31">
        <f t="shared" si="19"/>
        <v>42.704516874240014</v>
      </c>
      <c r="N42" s="46">
        <f t="shared" si="19"/>
        <v>44.412697549209618</v>
      </c>
      <c r="O42" s="11"/>
      <c r="P42" s="12"/>
      <c r="Q42" s="11"/>
      <c r="R42" s="13"/>
      <c r="S42" s="12"/>
      <c r="T42" s="13"/>
      <c r="U42" s="13"/>
      <c r="V42" s="13"/>
      <c r="W42" s="13"/>
      <c r="X42" s="13"/>
      <c r="Y42" s="13"/>
      <c r="Z42" s="13"/>
      <c r="AA42" s="13"/>
      <c r="AB42" s="13"/>
    </row>
    <row r="43" spans="1:28" s="14" customFormat="1" ht="12.75" thickBot="1" x14ac:dyDescent="0.25">
      <c r="A43" s="124"/>
      <c r="B43" s="55" t="s">
        <v>132</v>
      </c>
      <c r="C43" s="56" t="s">
        <v>133</v>
      </c>
      <c r="D43" s="55" t="s">
        <v>134</v>
      </c>
      <c r="E43" s="57">
        <v>6</v>
      </c>
      <c r="F43" s="50">
        <v>35.5</v>
      </c>
      <c r="G43" s="50">
        <f t="shared" si="1"/>
        <v>36.92</v>
      </c>
      <c r="H43" s="50">
        <v>38.340000000000003</v>
      </c>
      <c r="I43" s="50">
        <f t="shared" si="2"/>
        <v>39.873600000000003</v>
      </c>
      <c r="J43" s="50">
        <f t="shared" si="2"/>
        <v>41.468544000000001</v>
      </c>
      <c r="K43" s="50">
        <f t="shared" si="2"/>
        <v>43.127285759999999</v>
      </c>
      <c r="L43" s="50">
        <f t="shared" ref="L43:N43" si="20">K43*1.04</f>
        <v>44.852377190399999</v>
      </c>
      <c r="M43" s="50">
        <f t="shared" si="20"/>
        <v>46.646472278015999</v>
      </c>
      <c r="N43" s="51">
        <f t="shared" si="20"/>
        <v>48.512331169136644</v>
      </c>
      <c r="O43" s="11"/>
      <c r="P43" s="12"/>
      <c r="Q43" s="11"/>
      <c r="R43" s="13"/>
      <c r="S43" s="12"/>
      <c r="T43" s="13"/>
      <c r="U43" s="13"/>
      <c r="V43" s="13"/>
      <c r="W43" s="13"/>
      <c r="X43" s="13"/>
      <c r="Y43" s="13"/>
      <c r="Z43" s="13"/>
      <c r="AA43" s="13"/>
      <c r="AB43" s="13"/>
    </row>
    <row r="44" spans="1:28" s="14" customFormat="1" ht="12" x14ac:dyDescent="0.2">
      <c r="A44" s="122" t="s">
        <v>135</v>
      </c>
      <c r="B44" s="41" t="s">
        <v>136</v>
      </c>
      <c r="C44" s="42" t="s">
        <v>137</v>
      </c>
      <c r="D44" s="41" t="s">
        <v>138</v>
      </c>
      <c r="E44" s="43">
        <v>4</v>
      </c>
      <c r="F44" s="44">
        <v>69.8</v>
      </c>
      <c r="G44" s="44">
        <f t="shared" si="1"/>
        <v>72.591999999999999</v>
      </c>
      <c r="H44" s="44">
        <v>75.384</v>
      </c>
      <c r="I44" s="44">
        <f t="shared" si="2"/>
        <v>78.399360000000001</v>
      </c>
      <c r="J44" s="44">
        <f t="shared" si="2"/>
        <v>81.535334400000011</v>
      </c>
      <c r="K44" s="44">
        <f t="shared" si="2"/>
        <v>84.796747776000018</v>
      </c>
      <c r="L44" s="44">
        <f t="shared" ref="L44:N44" si="21">K44*1.04</f>
        <v>88.188617687040022</v>
      </c>
      <c r="M44" s="44">
        <f t="shared" si="21"/>
        <v>91.716162394521632</v>
      </c>
      <c r="N44" s="45">
        <f t="shared" si="21"/>
        <v>95.384808890302494</v>
      </c>
      <c r="O44" s="11"/>
      <c r="P44" s="12"/>
      <c r="Q44" s="11"/>
      <c r="R44" s="13"/>
      <c r="S44" s="12"/>
      <c r="T44" s="13"/>
      <c r="U44" s="13"/>
      <c r="V44" s="13"/>
      <c r="W44" s="13"/>
      <c r="X44" s="13"/>
      <c r="Y44" s="13"/>
      <c r="Z44" s="13"/>
      <c r="AA44" s="13"/>
      <c r="AB44" s="13"/>
    </row>
    <row r="45" spans="1:28" s="14" customFormat="1" ht="12.75" thickBot="1" x14ac:dyDescent="0.25">
      <c r="A45" s="124"/>
      <c r="B45" s="47" t="s">
        <v>139</v>
      </c>
      <c r="C45" s="48" t="s">
        <v>140</v>
      </c>
      <c r="D45" s="47" t="s">
        <v>141</v>
      </c>
      <c r="E45" s="49">
        <v>4</v>
      </c>
      <c r="F45" s="50">
        <v>69.8</v>
      </c>
      <c r="G45" s="50">
        <f t="shared" si="1"/>
        <v>72.591999999999999</v>
      </c>
      <c r="H45" s="50">
        <v>75.384</v>
      </c>
      <c r="I45" s="50">
        <f t="shared" si="2"/>
        <v>78.399360000000001</v>
      </c>
      <c r="J45" s="50">
        <f t="shared" si="2"/>
        <v>81.535334400000011</v>
      </c>
      <c r="K45" s="50">
        <f t="shared" si="2"/>
        <v>84.796747776000018</v>
      </c>
      <c r="L45" s="50">
        <f t="shared" ref="L45:N45" si="22">K45*1.04</f>
        <v>88.188617687040022</v>
      </c>
      <c r="M45" s="50">
        <f t="shared" si="22"/>
        <v>91.716162394521632</v>
      </c>
      <c r="N45" s="51">
        <f t="shared" si="22"/>
        <v>95.384808890302494</v>
      </c>
      <c r="O45" s="11"/>
      <c r="P45" s="12"/>
      <c r="Q45" s="11"/>
      <c r="R45" s="13"/>
      <c r="S45" s="12"/>
      <c r="T45" s="13"/>
      <c r="U45" s="13"/>
      <c r="V45" s="13"/>
      <c r="W45" s="13"/>
      <c r="X45" s="13"/>
      <c r="Y45" s="13"/>
      <c r="Z45" s="13"/>
      <c r="AA45" s="13"/>
      <c r="AB45" s="13"/>
    </row>
    <row r="46" spans="1:28" s="14" customFormat="1" ht="12" x14ac:dyDescent="0.2">
      <c r="A46" s="134" t="s">
        <v>142</v>
      </c>
      <c r="B46" s="58" t="s">
        <v>143</v>
      </c>
      <c r="C46" s="53" t="s">
        <v>144</v>
      </c>
      <c r="D46" s="52" t="s">
        <v>145</v>
      </c>
      <c r="E46" s="54">
        <v>15</v>
      </c>
      <c r="F46" s="44">
        <v>11.299999999999999</v>
      </c>
      <c r="G46" s="44">
        <f t="shared" si="1"/>
        <v>11.751999999999999</v>
      </c>
      <c r="H46" s="44">
        <v>12.203999999999999</v>
      </c>
      <c r="I46" s="44">
        <f t="shared" si="2"/>
        <v>12.692159999999999</v>
      </c>
      <c r="J46" s="44">
        <f t="shared" si="2"/>
        <v>13.1998464</v>
      </c>
      <c r="K46" s="44">
        <f t="shared" si="2"/>
        <v>13.727840256</v>
      </c>
      <c r="L46" s="44">
        <f t="shared" ref="L46:N46" si="23">K46*1.04</f>
        <v>14.276953866240001</v>
      </c>
      <c r="M46" s="44">
        <f t="shared" si="23"/>
        <v>14.848032020889601</v>
      </c>
      <c r="N46" s="45">
        <f t="shared" si="23"/>
        <v>15.441953301725185</v>
      </c>
      <c r="O46" s="11"/>
      <c r="P46" s="12"/>
      <c r="Q46" s="11"/>
      <c r="R46" s="13"/>
      <c r="S46" s="12"/>
      <c r="T46" s="13"/>
      <c r="U46" s="13"/>
      <c r="V46" s="13"/>
      <c r="W46" s="13"/>
      <c r="X46" s="13"/>
      <c r="Y46" s="13"/>
      <c r="Z46" s="13"/>
      <c r="AA46" s="13"/>
      <c r="AB46" s="13"/>
    </row>
    <row r="47" spans="1:28" s="14" customFormat="1" ht="12" x14ac:dyDescent="0.2">
      <c r="A47" s="135"/>
      <c r="B47" s="35" t="s">
        <v>146</v>
      </c>
      <c r="C47" s="29" t="s">
        <v>147</v>
      </c>
      <c r="D47" s="28" t="s">
        <v>148</v>
      </c>
      <c r="E47" s="30">
        <v>10</v>
      </c>
      <c r="F47" s="31">
        <v>13.799999999999999</v>
      </c>
      <c r="G47" s="31">
        <f t="shared" si="1"/>
        <v>14.351999999999999</v>
      </c>
      <c r="H47" s="31">
        <v>14.904</v>
      </c>
      <c r="I47" s="31">
        <f t="shared" si="2"/>
        <v>15.500160000000001</v>
      </c>
      <c r="J47" s="31">
        <f t="shared" si="2"/>
        <v>16.120166400000002</v>
      </c>
      <c r="K47" s="31">
        <f t="shared" si="2"/>
        <v>16.764973056000002</v>
      </c>
      <c r="L47" s="31">
        <f t="shared" ref="L47:N47" si="24">K47*1.04</f>
        <v>17.435571978240002</v>
      </c>
      <c r="M47" s="31">
        <f t="shared" si="24"/>
        <v>18.132994857369603</v>
      </c>
      <c r="N47" s="46">
        <f t="shared" si="24"/>
        <v>18.858314651664386</v>
      </c>
      <c r="O47" s="11"/>
      <c r="P47" s="12"/>
      <c r="Q47" s="11"/>
      <c r="R47" s="13"/>
      <c r="S47" s="12"/>
      <c r="T47" s="13"/>
      <c r="U47" s="13"/>
      <c r="V47" s="13"/>
      <c r="W47" s="13"/>
      <c r="X47" s="13"/>
      <c r="Y47" s="13"/>
      <c r="Z47" s="13"/>
      <c r="AA47" s="13"/>
      <c r="AB47" s="13"/>
    </row>
    <row r="48" spans="1:28" s="14" customFormat="1" ht="12" x14ac:dyDescent="0.2">
      <c r="A48" s="135"/>
      <c r="B48" s="28" t="s">
        <v>149</v>
      </c>
      <c r="C48" s="29" t="s">
        <v>150</v>
      </c>
      <c r="D48" s="28" t="s">
        <v>151</v>
      </c>
      <c r="E48" s="30">
        <v>25</v>
      </c>
      <c r="F48" s="31">
        <v>15</v>
      </c>
      <c r="G48" s="31">
        <f t="shared" si="1"/>
        <v>15.600000000000001</v>
      </c>
      <c r="H48" s="31">
        <v>16.200000000000003</v>
      </c>
      <c r="I48" s="31">
        <f t="shared" si="2"/>
        <v>16.848000000000003</v>
      </c>
      <c r="J48" s="31">
        <f t="shared" si="2"/>
        <v>17.521920000000001</v>
      </c>
      <c r="K48" s="31">
        <f t="shared" si="2"/>
        <v>18.222796800000001</v>
      </c>
      <c r="L48" s="31">
        <f t="shared" ref="L48:N48" si="25">K48*1.04</f>
        <v>18.951708672000002</v>
      </c>
      <c r="M48" s="31">
        <f t="shared" si="25"/>
        <v>19.709777018880004</v>
      </c>
      <c r="N48" s="46">
        <f t="shared" si="25"/>
        <v>20.498168099635205</v>
      </c>
      <c r="O48" s="11"/>
      <c r="P48" s="12"/>
      <c r="Q48" s="11"/>
      <c r="R48" s="13"/>
      <c r="S48" s="12"/>
      <c r="T48" s="13"/>
      <c r="U48" s="13"/>
      <c r="V48" s="13"/>
      <c r="W48" s="13"/>
      <c r="X48" s="13"/>
      <c r="Y48" s="13"/>
      <c r="Z48" s="13"/>
      <c r="AA48" s="13"/>
      <c r="AB48" s="13"/>
    </row>
    <row r="49" spans="1:28" s="14" customFormat="1" ht="12" x14ac:dyDescent="0.2">
      <c r="A49" s="135"/>
      <c r="B49" s="28" t="s">
        <v>152</v>
      </c>
      <c r="C49" s="29" t="s">
        <v>153</v>
      </c>
      <c r="D49" s="28" t="s">
        <v>154</v>
      </c>
      <c r="E49" s="30">
        <v>25</v>
      </c>
      <c r="F49" s="31">
        <v>18.100000000000001</v>
      </c>
      <c r="G49" s="31">
        <f t="shared" si="1"/>
        <v>18.824000000000002</v>
      </c>
      <c r="H49" s="31">
        <v>19.548000000000002</v>
      </c>
      <c r="I49" s="31">
        <f t="shared" si="2"/>
        <v>20.329920000000001</v>
      </c>
      <c r="J49" s="31">
        <f t="shared" si="2"/>
        <v>21.143116800000001</v>
      </c>
      <c r="K49" s="31">
        <f t="shared" si="2"/>
        <v>21.988841472000001</v>
      </c>
      <c r="L49" s="31">
        <f t="shared" ref="L49:N49" si="26">K49*1.04</f>
        <v>22.868395130880003</v>
      </c>
      <c r="M49" s="31">
        <f t="shared" si="26"/>
        <v>23.783130936115203</v>
      </c>
      <c r="N49" s="46">
        <f t="shared" si="26"/>
        <v>24.734456173559813</v>
      </c>
      <c r="O49" s="11"/>
      <c r="P49" s="12"/>
      <c r="Q49" s="11"/>
      <c r="R49" s="13"/>
      <c r="S49" s="12"/>
      <c r="T49" s="13"/>
      <c r="U49" s="13"/>
      <c r="V49" s="13"/>
      <c r="W49" s="13"/>
      <c r="X49" s="13"/>
      <c r="Y49" s="13"/>
      <c r="Z49" s="13"/>
      <c r="AA49" s="13"/>
      <c r="AB49" s="13"/>
    </row>
    <row r="50" spans="1:28" s="14" customFormat="1" ht="12" x14ac:dyDescent="0.2">
      <c r="A50" s="135"/>
      <c r="B50" s="28" t="s">
        <v>155</v>
      </c>
      <c r="C50" s="29" t="s">
        <v>156</v>
      </c>
      <c r="D50" s="32" t="s">
        <v>157</v>
      </c>
      <c r="E50" s="34">
        <v>15</v>
      </c>
      <c r="F50" s="31">
        <v>10.299999999999999</v>
      </c>
      <c r="G50" s="31">
        <f t="shared" si="1"/>
        <v>10.712</v>
      </c>
      <c r="H50" s="31">
        <v>11.123999999999999</v>
      </c>
      <c r="I50" s="31">
        <f t="shared" si="2"/>
        <v>11.568959999999999</v>
      </c>
      <c r="J50" s="31">
        <f t="shared" si="2"/>
        <v>12.031718399999999</v>
      </c>
      <c r="K50" s="31">
        <f t="shared" si="2"/>
        <v>12.512987136</v>
      </c>
      <c r="L50" s="31">
        <f t="shared" ref="L50:N50" si="27">K50*1.04</f>
        <v>13.013506621439999</v>
      </c>
      <c r="M50" s="31">
        <f t="shared" si="27"/>
        <v>13.534046886297601</v>
      </c>
      <c r="N50" s="46">
        <f t="shared" si="27"/>
        <v>14.075408761749506</v>
      </c>
      <c r="O50" s="11"/>
      <c r="P50" s="12"/>
      <c r="Q50" s="11"/>
      <c r="R50" s="13"/>
      <c r="S50" s="12"/>
      <c r="T50" s="13"/>
      <c r="U50" s="13"/>
      <c r="V50" s="13"/>
      <c r="W50" s="13"/>
      <c r="X50" s="13"/>
      <c r="Y50" s="13"/>
      <c r="Z50" s="13"/>
      <c r="AA50" s="13"/>
      <c r="AB50" s="13"/>
    </row>
    <row r="51" spans="1:28" s="14" customFormat="1" ht="12" x14ac:dyDescent="0.2">
      <c r="A51" s="135"/>
      <c r="B51" s="28" t="s">
        <v>158</v>
      </c>
      <c r="C51" s="29" t="s">
        <v>159</v>
      </c>
      <c r="D51" s="28" t="s">
        <v>160</v>
      </c>
      <c r="E51" s="30">
        <v>10</v>
      </c>
      <c r="F51" s="31">
        <v>12.799999999999999</v>
      </c>
      <c r="G51" s="31">
        <f t="shared" si="1"/>
        <v>13.311999999999999</v>
      </c>
      <c r="H51" s="31">
        <v>13.824</v>
      </c>
      <c r="I51" s="31">
        <f t="shared" si="2"/>
        <v>14.37696</v>
      </c>
      <c r="J51" s="31">
        <f t="shared" si="2"/>
        <v>14.952038400000001</v>
      </c>
      <c r="K51" s="31">
        <f t="shared" si="2"/>
        <v>15.550119936000002</v>
      </c>
      <c r="L51" s="31">
        <f t="shared" ref="L51:N51" si="28">K51*1.04</f>
        <v>16.17212473344</v>
      </c>
      <c r="M51" s="31">
        <f t="shared" si="28"/>
        <v>16.819009722777601</v>
      </c>
      <c r="N51" s="46">
        <f t="shared" si="28"/>
        <v>17.491770111688705</v>
      </c>
      <c r="O51" s="11"/>
      <c r="P51" s="12"/>
      <c r="Q51" s="11"/>
      <c r="R51" s="13"/>
      <c r="S51" s="12"/>
      <c r="T51" s="13"/>
      <c r="U51" s="13"/>
      <c r="V51" s="13"/>
      <c r="W51" s="13"/>
      <c r="X51" s="13"/>
      <c r="Y51" s="13"/>
      <c r="Z51" s="13"/>
      <c r="AA51" s="13"/>
      <c r="AB51" s="13"/>
    </row>
    <row r="52" spans="1:28" s="14" customFormat="1" ht="12" x14ac:dyDescent="0.2">
      <c r="A52" s="135"/>
      <c r="B52" s="28" t="s">
        <v>161</v>
      </c>
      <c r="C52" s="29" t="s">
        <v>162</v>
      </c>
      <c r="D52" s="28" t="s">
        <v>163</v>
      </c>
      <c r="E52" s="30">
        <v>30</v>
      </c>
      <c r="F52" s="31">
        <v>14</v>
      </c>
      <c r="G52" s="31">
        <f t="shared" si="1"/>
        <v>14.56</v>
      </c>
      <c r="H52" s="31">
        <v>15.120000000000001</v>
      </c>
      <c r="I52" s="31">
        <f t="shared" si="2"/>
        <v>15.724800000000002</v>
      </c>
      <c r="J52" s="31">
        <f t="shared" si="2"/>
        <v>16.353792000000002</v>
      </c>
      <c r="K52" s="31">
        <f t="shared" si="2"/>
        <v>17.007943680000004</v>
      </c>
      <c r="L52" s="31">
        <f t="shared" ref="L52:N52" si="29">K52*1.04</f>
        <v>17.688261427200004</v>
      </c>
      <c r="M52" s="31">
        <f t="shared" si="29"/>
        <v>18.395791884288005</v>
      </c>
      <c r="N52" s="46">
        <f t="shared" si="29"/>
        <v>19.131623559659527</v>
      </c>
      <c r="O52" s="11"/>
      <c r="P52" s="12"/>
      <c r="Q52" s="11"/>
      <c r="R52" s="13"/>
      <c r="S52" s="12"/>
      <c r="T52" s="13"/>
      <c r="U52" s="13"/>
      <c r="V52" s="13"/>
      <c r="W52" s="13"/>
      <c r="X52" s="13"/>
      <c r="Y52" s="13"/>
      <c r="Z52" s="13"/>
      <c r="AA52" s="13"/>
      <c r="AB52" s="13"/>
    </row>
    <row r="53" spans="1:28" s="14" customFormat="1" ht="12.75" thickBot="1" x14ac:dyDescent="0.25">
      <c r="A53" s="136"/>
      <c r="B53" s="47" t="s">
        <v>164</v>
      </c>
      <c r="C53" s="48" t="s">
        <v>165</v>
      </c>
      <c r="D53" s="47" t="s">
        <v>166</v>
      </c>
      <c r="E53" s="49">
        <v>30</v>
      </c>
      <c r="F53" s="50">
        <v>16.8</v>
      </c>
      <c r="G53" s="50">
        <f t="shared" si="1"/>
        <v>17.472000000000001</v>
      </c>
      <c r="H53" s="50">
        <v>18.144000000000002</v>
      </c>
      <c r="I53" s="50">
        <f t="shared" si="2"/>
        <v>18.869760000000003</v>
      </c>
      <c r="J53" s="50">
        <f t="shared" si="2"/>
        <v>19.624550400000004</v>
      </c>
      <c r="K53" s="50">
        <f t="shared" si="2"/>
        <v>20.409532416000005</v>
      </c>
      <c r="L53" s="50">
        <f t="shared" ref="L53:N53" si="30">K53*1.04</f>
        <v>21.225913712640004</v>
      </c>
      <c r="M53" s="50">
        <f t="shared" si="30"/>
        <v>22.074950261145606</v>
      </c>
      <c r="N53" s="51">
        <f t="shared" si="30"/>
        <v>22.95794827159143</v>
      </c>
      <c r="O53" s="11"/>
      <c r="P53" s="12"/>
      <c r="Q53" s="11"/>
      <c r="R53" s="13"/>
      <c r="S53" s="12"/>
      <c r="T53" s="13"/>
      <c r="U53" s="13"/>
      <c r="V53" s="13"/>
      <c r="W53" s="13"/>
      <c r="X53" s="13"/>
      <c r="Y53" s="13"/>
      <c r="Z53" s="13"/>
      <c r="AA53" s="13"/>
      <c r="AB53" s="13"/>
    </row>
    <row r="54" spans="1:28" s="14" customFormat="1" ht="12" x14ac:dyDescent="0.2">
      <c r="A54" s="134" t="s">
        <v>167</v>
      </c>
      <c r="B54" s="41" t="s">
        <v>168</v>
      </c>
      <c r="C54" s="42" t="s">
        <v>169</v>
      </c>
      <c r="D54" s="41" t="s">
        <v>170</v>
      </c>
      <c r="E54" s="43">
        <v>15</v>
      </c>
      <c r="F54" s="44">
        <v>16.87</v>
      </c>
      <c r="G54" s="44">
        <f t="shared" si="1"/>
        <v>17.544800000000002</v>
      </c>
      <c r="H54" s="31">
        <f t="shared" ref="H54:H89" si="31">G54*1.04</f>
        <v>18.246592000000003</v>
      </c>
      <c r="I54" s="44">
        <f t="shared" si="2"/>
        <v>18.976455680000004</v>
      </c>
      <c r="J54" s="44">
        <f t="shared" si="2"/>
        <v>19.735513907200005</v>
      </c>
      <c r="K54" s="44">
        <f t="shared" si="2"/>
        <v>20.524934463488005</v>
      </c>
      <c r="L54" s="44">
        <f t="shared" ref="L54:N54" si="32">K54*1.04</f>
        <v>21.345931842027525</v>
      </c>
      <c r="M54" s="44">
        <f t="shared" si="32"/>
        <v>22.199769115708627</v>
      </c>
      <c r="N54" s="45">
        <f t="shared" si="32"/>
        <v>23.087759880336971</v>
      </c>
      <c r="O54" s="11"/>
      <c r="P54" s="12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</row>
    <row r="55" spans="1:28" s="14" customFormat="1" ht="12" x14ac:dyDescent="0.2">
      <c r="A55" s="135"/>
      <c r="B55" s="28" t="s">
        <v>171</v>
      </c>
      <c r="C55" s="29" t="s">
        <v>172</v>
      </c>
      <c r="D55" s="28" t="s">
        <v>173</v>
      </c>
      <c r="E55" s="30">
        <v>12</v>
      </c>
      <c r="F55" s="31">
        <v>25.55</v>
      </c>
      <c r="G55" s="31">
        <f t="shared" si="1"/>
        <v>26.572000000000003</v>
      </c>
      <c r="H55" s="31">
        <f t="shared" si="31"/>
        <v>27.634880000000003</v>
      </c>
      <c r="I55" s="31">
        <f t="shared" si="2"/>
        <v>28.740275200000003</v>
      </c>
      <c r="J55" s="31">
        <f t="shared" si="2"/>
        <v>29.889886208000004</v>
      </c>
      <c r="K55" s="31">
        <f t="shared" si="2"/>
        <v>31.085481656320006</v>
      </c>
      <c r="L55" s="31">
        <f t="shared" ref="L55:N55" si="33">K55*1.04</f>
        <v>32.328900922572807</v>
      </c>
      <c r="M55" s="31">
        <f t="shared" si="33"/>
        <v>33.622056959475721</v>
      </c>
      <c r="N55" s="46">
        <f t="shared" si="33"/>
        <v>34.966939237854753</v>
      </c>
      <c r="O55" s="11"/>
      <c r="P55" s="12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</row>
    <row r="56" spans="1:28" s="14" customFormat="1" ht="12" x14ac:dyDescent="0.2">
      <c r="A56" s="135"/>
      <c r="B56" s="28" t="s">
        <v>174</v>
      </c>
      <c r="C56" s="29" t="s">
        <v>175</v>
      </c>
      <c r="D56" s="28" t="s">
        <v>176</v>
      </c>
      <c r="E56" s="30">
        <v>15</v>
      </c>
      <c r="F56" s="31">
        <v>23.4</v>
      </c>
      <c r="G56" s="31">
        <f t="shared" si="1"/>
        <v>24.335999999999999</v>
      </c>
      <c r="H56" s="31">
        <f t="shared" si="31"/>
        <v>25.309439999999999</v>
      </c>
      <c r="I56" s="31">
        <f t="shared" si="2"/>
        <v>26.321817599999999</v>
      </c>
      <c r="J56" s="31">
        <f t="shared" si="2"/>
        <v>27.374690304000001</v>
      </c>
      <c r="K56" s="31">
        <f t="shared" si="2"/>
        <v>28.469677916160002</v>
      </c>
      <c r="L56" s="31">
        <f t="shared" ref="L56:N56" si="34">K56*1.04</f>
        <v>29.608465032806404</v>
      </c>
      <c r="M56" s="31">
        <f t="shared" si="34"/>
        <v>30.792803634118659</v>
      </c>
      <c r="N56" s="46">
        <f t="shared" si="34"/>
        <v>32.024515779483409</v>
      </c>
      <c r="O56" s="11"/>
      <c r="P56" s="12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</row>
    <row r="57" spans="1:28" s="14" customFormat="1" ht="12" x14ac:dyDescent="0.2">
      <c r="A57" s="135"/>
      <c r="B57" s="28" t="s">
        <v>177</v>
      </c>
      <c r="C57" s="29" t="s">
        <v>178</v>
      </c>
      <c r="D57" s="28" t="s">
        <v>179</v>
      </c>
      <c r="E57" s="30">
        <v>15</v>
      </c>
      <c r="F57" s="31">
        <v>23.9</v>
      </c>
      <c r="G57" s="31">
        <f t="shared" si="1"/>
        <v>24.855999999999998</v>
      </c>
      <c r="H57" s="31">
        <f t="shared" si="31"/>
        <v>25.850239999999999</v>
      </c>
      <c r="I57" s="31">
        <f t="shared" si="2"/>
        <v>26.8842496</v>
      </c>
      <c r="J57" s="31">
        <f t="shared" si="2"/>
        <v>27.959619584000002</v>
      </c>
      <c r="K57" s="31">
        <f t="shared" si="2"/>
        <v>29.078004367360002</v>
      </c>
      <c r="L57" s="31">
        <f t="shared" ref="L57:N57" si="35">K57*1.04</f>
        <v>30.241124542054404</v>
      </c>
      <c r="M57" s="31">
        <f t="shared" si="35"/>
        <v>31.450769523736582</v>
      </c>
      <c r="N57" s="46">
        <f t="shared" si="35"/>
        <v>32.708800304686044</v>
      </c>
      <c r="O57" s="11"/>
      <c r="P57" s="12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</row>
    <row r="58" spans="1:28" s="14" customFormat="1" ht="12" x14ac:dyDescent="0.2">
      <c r="A58" s="135"/>
      <c r="B58" s="28" t="s">
        <v>180</v>
      </c>
      <c r="C58" s="29" t="s">
        <v>181</v>
      </c>
      <c r="D58" s="28" t="s">
        <v>182</v>
      </c>
      <c r="E58" s="30">
        <v>8</v>
      </c>
      <c r="F58" s="31">
        <v>30.4</v>
      </c>
      <c r="G58" s="31">
        <f t="shared" si="1"/>
        <v>31.616</v>
      </c>
      <c r="H58" s="31">
        <f t="shared" si="31"/>
        <v>32.88064</v>
      </c>
      <c r="I58" s="31">
        <f t="shared" si="2"/>
        <v>34.195865599999998</v>
      </c>
      <c r="J58" s="31">
        <f t="shared" si="2"/>
        <v>35.563700224000002</v>
      </c>
      <c r="K58" s="31">
        <f t="shared" si="2"/>
        <v>36.986248232960001</v>
      </c>
      <c r="L58" s="31">
        <f t="shared" ref="L58:N58" si="36">K58*1.04</f>
        <v>38.4656981622784</v>
      </c>
      <c r="M58" s="31">
        <f t="shared" si="36"/>
        <v>40.004326088769538</v>
      </c>
      <c r="N58" s="46">
        <f t="shared" si="36"/>
        <v>41.604499132320321</v>
      </c>
      <c r="O58" s="11"/>
      <c r="P58" s="12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</row>
    <row r="59" spans="1:28" s="14" customFormat="1" ht="12" x14ac:dyDescent="0.2">
      <c r="A59" s="135"/>
      <c r="B59" s="35" t="s">
        <v>183</v>
      </c>
      <c r="C59" s="29" t="s">
        <v>184</v>
      </c>
      <c r="D59" s="28" t="s">
        <v>185</v>
      </c>
      <c r="E59" s="30">
        <v>4</v>
      </c>
      <c r="F59" s="31">
        <v>36.4</v>
      </c>
      <c r="G59" s="31">
        <f t="shared" si="1"/>
        <v>37.856000000000002</v>
      </c>
      <c r="H59" s="31">
        <f t="shared" si="31"/>
        <v>39.370240000000003</v>
      </c>
      <c r="I59" s="31">
        <f t="shared" si="2"/>
        <v>40.945049600000004</v>
      </c>
      <c r="J59" s="31">
        <f t="shared" si="2"/>
        <v>42.582851584000004</v>
      </c>
      <c r="K59" s="31">
        <f t="shared" si="2"/>
        <v>44.286165647360008</v>
      </c>
      <c r="L59" s="31">
        <f t="shared" ref="L59:N59" si="37">K59*1.04</f>
        <v>46.057612273254406</v>
      </c>
      <c r="M59" s="31">
        <f t="shared" si="37"/>
        <v>47.899916764184582</v>
      </c>
      <c r="N59" s="46">
        <f t="shared" si="37"/>
        <v>49.81591343475197</v>
      </c>
      <c r="O59" s="11"/>
      <c r="P59" s="12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</row>
    <row r="60" spans="1:28" s="14" customFormat="1" ht="12" x14ac:dyDescent="0.2">
      <c r="A60" s="135"/>
      <c r="B60" s="28" t="s">
        <v>186</v>
      </c>
      <c r="C60" s="29" t="s">
        <v>187</v>
      </c>
      <c r="D60" s="28" t="s">
        <v>188</v>
      </c>
      <c r="E60" s="30">
        <v>12</v>
      </c>
      <c r="F60" s="31">
        <v>27.93</v>
      </c>
      <c r="G60" s="31">
        <f t="shared" si="1"/>
        <v>29.0472</v>
      </c>
      <c r="H60" s="31">
        <f t="shared" si="31"/>
        <v>30.209088000000001</v>
      </c>
      <c r="I60" s="31">
        <f t="shared" si="2"/>
        <v>31.417451520000004</v>
      </c>
      <c r="J60" s="31">
        <f t="shared" si="2"/>
        <v>32.674149580800005</v>
      </c>
      <c r="K60" s="31">
        <f t="shared" si="2"/>
        <v>33.98111556403201</v>
      </c>
      <c r="L60" s="31">
        <f t="shared" ref="L60:N60" si="38">K60*1.04</f>
        <v>35.340360186593294</v>
      </c>
      <c r="M60" s="31">
        <f t="shared" si="38"/>
        <v>36.753974594057027</v>
      </c>
      <c r="N60" s="46">
        <f t="shared" si="38"/>
        <v>38.224133577819309</v>
      </c>
      <c r="O60" s="11"/>
      <c r="P60" s="12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</row>
    <row r="61" spans="1:28" s="14" customFormat="1" ht="12" x14ac:dyDescent="0.2">
      <c r="A61" s="135"/>
      <c r="B61" s="28" t="s">
        <v>189</v>
      </c>
      <c r="C61" s="29" t="s">
        <v>190</v>
      </c>
      <c r="D61" s="28" t="s">
        <v>191</v>
      </c>
      <c r="E61" s="30">
        <v>12</v>
      </c>
      <c r="F61" s="31">
        <v>37.25</v>
      </c>
      <c r="G61" s="31">
        <f t="shared" si="1"/>
        <v>38.74</v>
      </c>
      <c r="H61" s="31">
        <f t="shared" si="31"/>
        <v>40.2896</v>
      </c>
      <c r="I61" s="31">
        <f t="shared" si="2"/>
        <v>41.901184000000001</v>
      </c>
      <c r="J61" s="31">
        <f t="shared" si="2"/>
        <v>43.577231359999999</v>
      </c>
      <c r="K61" s="31">
        <f t="shared" si="2"/>
        <v>45.320320614400003</v>
      </c>
      <c r="L61" s="31">
        <f t="shared" ref="L61:N61" si="39">K61*1.04</f>
        <v>47.133133438976003</v>
      </c>
      <c r="M61" s="31">
        <f t="shared" si="39"/>
        <v>49.018458776535041</v>
      </c>
      <c r="N61" s="46">
        <f t="shared" si="39"/>
        <v>50.979197127596443</v>
      </c>
      <c r="O61" s="11"/>
      <c r="P61" s="12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</row>
    <row r="62" spans="1:28" s="14" customFormat="1" ht="12" x14ac:dyDescent="0.2">
      <c r="A62" s="135"/>
      <c r="B62" s="28" t="s">
        <v>192</v>
      </c>
      <c r="C62" s="29" t="s">
        <v>193</v>
      </c>
      <c r="D62" s="32" t="s">
        <v>194</v>
      </c>
      <c r="E62" s="34">
        <v>10</v>
      </c>
      <c r="F62" s="31">
        <v>29.04</v>
      </c>
      <c r="G62" s="31">
        <f t="shared" si="1"/>
        <v>30.201599999999999</v>
      </c>
      <c r="H62" s="31">
        <f t="shared" si="31"/>
        <v>31.409663999999999</v>
      </c>
      <c r="I62" s="31">
        <f t="shared" si="2"/>
        <v>32.666050560000002</v>
      </c>
      <c r="J62" s="31">
        <f t="shared" si="2"/>
        <v>33.972692582400001</v>
      </c>
      <c r="K62" s="31">
        <f t="shared" si="2"/>
        <v>35.331600285695998</v>
      </c>
      <c r="L62" s="31">
        <f t="shared" ref="L62:N62" si="40">K62*1.04</f>
        <v>36.74486429712384</v>
      </c>
      <c r="M62" s="31">
        <f t="shared" si="40"/>
        <v>38.214658869008794</v>
      </c>
      <c r="N62" s="46">
        <f t="shared" si="40"/>
        <v>39.743245223769144</v>
      </c>
      <c r="O62" s="11"/>
      <c r="P62" s="12"/>
      <c r="Q62" s="11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</row>
    <row r="63" spans="1:28" s="14" customFormat="1" ht="12" x14ac:dyDescent="0.2">
      <c r="A63" s="135"/>
      <c r="B63" s="28" t="s">
        <v>195</v>
      </c>
      <c r="C63" s="29" t="s">
        <v>196</v>
      </c>
      <c r="D63" s="28" t="s">
        <v>197</v>
      </c>
      <c r="E63" s="30">
        <v>10</v>
      </c>
      <c r="F63" s="31">
        <v>29.04</v>
      </c>
      <c r="G63" s="31">
        <f t="shared" si="1"/>
        <v>30.201599999999999</v>
      </c>
      <c r="H63" s="31">
        <f t="shared" si="31"/>
        <v>31.409663999999999</v>
      </c>
      <c r="I63" s="31">
        <f t="shared" si="2"/>
        <v>32.666050560000002</v>
      </c>
      <c r="J63" s="31">
        <f t="shared" si="2"/>
        <v>33.972692582400001</v>
      </c>
      <c r="K63" s="31">
        <f t="shared" si="2"/>
        <v>35.331600285695998</v>
      </c>
      <c r="L63" s="31">
        <f t="shared" ref="L63:N63" si="41">K63*1.04</f>
        <v>36.74486429712384</v>
      </c>
      <c r="M63" s="31">
        <f t="shared" si="41"/>
        <v>38.214658869008794</v>
      </c>
      <c r="N63" s="46">
        <f t="shared" si="41"/>
        <v>39.743245223769144</v>
      </c>
      <c r="O63" s="11"/>
      <c r="P63" s="12"/>
      <c r="Q63" s="11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</row>
    <row r="64" spans="1:28" s="14" customFormat="1" ht="12" x14ac:dyDescent="0.2">
      <c r="A64" s="135"/>
      <c r="B64" s="28" t="s">
        <v>198</v>
      </c>
      <c r="C64" s="29" t="s">
        <v>199</v>
      </c>
      <c r="D64" s="28" t="s">
        <v>200</v>
      </c>
      <c r="E64" s="30">
        <v>8</v>
      </c>
      <c r="F64" s="31">
        <v>38.44</v>
      </c>
      <c r="G64" s="31">
        <f t="shared" si="1"/>
        <v>39.977600000000002</v>
      </c>
      <c r="H64" s="31">
        <f t="shared" si="31"/>
        <v>41.576704000000007</v>
      </c>
      <c r="I64" s="31">
        <f t="shared" si="2"/>
        <v>43.239772160000008</v>
      </c>
      <c r="J64" s="31">
        <f t="shared" si="2"/>
        <v>44.969363046400012</v>
      </c>
      <c r="K64" s="31">
        <f t="shared" si="2"/>
        <v>46.768137568256016</v>
      </c>
      <c r="L64" s="31">
        <f t="shared" ref="L64:N64" si="42">K64*1.04</f>
        <v>48.638863070986261</v>
      </c>
      <c r="M64" s="31">
        <f t="shared" si="42"/>
        <v>50.584417593825712</v>
      </c>
      <c r="N64" s="46">
        <f t="shared" si="42"/>
        <v>52.607794297578742</v>
      </c>
      <c r="O64" s="11"/>
      <c r="P64" s="12"/>
      <c r="Q64" s="11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</row>
    <row r="65" spans="1:28" s="14" customFormat="1" ht="12.75" thickBot="1" x14ac:dyDescent="0.25">
      <c r="A65" s="136"/>
      <c r="B65" s="47" t="s">
        <v>201</v>
      </c>
      <c r="C65" s="48" t="s">
        <v>202</v>
      </c>
      <c r="D65" s="47" t="s">
        <v>203</v>
      </c>
      <c r="E65" s="49">
        <v>4</v>
      </c>
      <c r="F65" s="50">
        <v>42.87</v>
      </c>
      <c r="G65" s="50">
        <f t="shared" si="1"/>
        <v>44.584800000000001</v>
      </c>
      <c r="H65" s="50">
        <f t="shared" si="31"/>
        <v>46.368192000000001</v>
      </c>
      <c r="I65" s="50">
        <f t="shared" si="2"/>
        <v>48.222919680000004</v>
      </c>
      <c r="J65" s="50">
        <f t="shared" si="2"/>
        <v>50.151836467200006</v>
      </c>
      <c r="K65" s="50">
        <f t="shared" si="2"/>
        <v>52.157909925888006</v>
      </c>
      <c r="L65" s="50">
        <f t="shared" ref="L65:N65" si="43">K65*1.04</f>
        <v>54.244226322923531</v>
      </c>
      <c r="M65" s="50">
        <f t="shared" si="43"/>
        <v>56.413995375840472</v>
      </c>
      <c r="N65" s="51">
        <f t="shared" si="43"/>
        <v>58.67055519087409</v>
      </c>
      <c r="O65" s="11"/>
      <c r="P65" s="12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</row>
    <row r="66" spans="1:28" s="14" customFormat="1" ht="12" x14ac:dyDescent="0.2">
      <c r="A66" s="122" t="s">
        <v>204</v>
      </c>
      <c r="B66" s="41" t="s">
        <v>205</v>
      </c>
      <c r="C66" s="42" t="s">
        <v>206</v>
      </c>
      <c r="D66" s="41" t="s">
        <v>207</v>
      </c>
      <c r="E66" s="43">
        <v>6</v>
      </c>
      <c r="F66" s="44">
        <v>10.044000000000002</v>
      </c>
      <c r="G66" s="44">
        <f t="shared" si="1"/>
        <v>10.445760000000003</v>
      </c>
      <c r="H66" s="114">
        <f t="shared" si="31"/>
        <v>10.863590400000003</v>
      </c>
      <c r="I66" s="44">
        <f t="shared" si="2"/>
        <v>11.298134016000004</v>
      </c>
      <c r="J66" s="44">
        <f t="shared" si="2"/>
        <v>11.750059376640005</v>
      </c>
      <c r="K66" s="44">
        <f t="shared" si="2"/>
        <v>12.220061751705606</v>
      </c>
      <c r="L66" s="44">
        <f t="shared" ref="L66:N66" si="44">K66*1.04</f>
        <v>12.70886422177383</v>
      </c>
      <c r="M66" s="44">
        <f t="shared" si="44"/>
        <v>13.217218790644782</v>
      </c>
      <c r="N66" s="45">
        <f t="shared" si="44"/>
        <v>13.745907542270574</v>
      </c>
      <c r="O66" s="11"/>
      <c r="P66" s="12"/>
      <c r="Q66" s="11"/>
      <c r="R66" s="13"/>
      <c r="S66" s="12"/>
      <c r="T66" s="13"/>
      <c r="U66" s="13"/>
      <c r="V66" s="13"/>
      <c r="W66" s="13"/>
      <c r="X66" s="13"/>
      <c r="Y66" s="13"/>
      <c r="Z66" s="13"/>
      <c r="AA66" s="13"/>
      <c r="AB66" s="13"/>
    </row>
    <row r="67" spans="1:28" s="14" customFormat="1" ht="12" x14ac:dyDescent="0.2">
      <c r="A67" s="123"/>
      <c r="B67" s="28" t="s">
        <v>264</v>
      </c>
      <c r="C67" s="29" t="s">
        <v>208</v>
      </c>
      <c r="D67" s="28" t="s">
        <v>209</v>
      </c>
      <c r="E67" s="30">
        <v>4</v>
      </c>
      <c r="F67" s="31">
        <v>14.904000000000002</v>
      </c>
      <c r="G67" s="31">
        <f t="shared" si="1"/>
        <v>15.500160000000003</v>
      </c>
      <c r="H67" s="31">
        <f t="shared" si="31"/>
        <v>16.120166400000002</v>
      </c>
      <c r="I67" s="31">
        <f t="shared" si="2"/>
        <v>16.764973056000002</v>
      </c>
      <c r="J67" s="31">
        <f t="shared" si="2"/>
        <v>17.435571978240002</v>
      </c>
      <c r="K67" s="31">
        <f t="shared" si="2"/>
        <v>18.132994857369603</v>
      </c>
      <c r="L67" s="31">
        <f t="shared" ref="L67:N67" si="45">K67*1.04</f>
        <v>18.858314651664386</v>
      </c>
      <c r="M67" s="31">
        <f t="shared" si="45"/>
        <v>19.612647237730961</v>
      </c>
      <c r="N67" s="46">
        <f t="shared" si="45"/>
        <v>20.397153127240202</v>
      </c>
      <c r="O67" s="11"/>
      <c r="P67" s="12"/>
      <c r="Q67" s="11"/>
      <c r="R67" s="13"/>
      <c r="S67" s="12"/>
      <c r="T67" s="13"/>
      <c r="U67" s="13"/>
      <c r="V67" s="13"/>
      <c r="W67" s="13"/>
      <c r="X67" s="13"/>
      <c r="Y67" s="13"/>
      <c r="Z67" s="13"/>
      <c r="AA67" s="13"/>
      <c r="AB67" s="13"/>
    </row>
    <row r="68" spans="1:28" s="14" customFormat="1" ht="12" x14ac:dyDescent="0.2">
      <c r="A68" s="123"/>
      <c r="B68" s="28" t="s">
        <v>210</v>
      </c>
      <c r="C68" s="29" t="s">
        <v>211</v>
      </c>
      <c r="D68" s="28" t="s">
        <v>212</v>
      </c>
      <c r="E68" s="30">
        <v>12</v>
      </c>
      <c r="F68" s="31">
        <v>25.326000000000001</v>
      </c>
      <c r="G68" s="31">
        <f t="shared" si="1"/>
        <v>26.339040000000001</v>
      </c>
      <c r="H68" s="31">
        <f t="shared" si="31"/>
        <v>27.392601600000003</v>
      </c>
      <c r="I68" s="31">
        <f t="shared" si="2"/>
        <v>28.488305664000002</v>
      </c>
      <c r="J68" s="31">
        <f t="shared" si="2"/>
        <v>29.627837890560002</v>
      </c>
      <c r="K68" s="31">
        <f t="shared" si="2"/>
        <v>30.812951406182403</v>
      </c>
      <c r="L68" s="31">
        <f t="shared" ref="L68:N68" si="46">K68*1.04</f>
        <v>32.045469462429701</v>
      </c>
      <c r="M68" s="31">
        <f t="shared" si="46"/>
        <v>33.32728824092689</v>
      </c>
      <c r="N68" s="46">
        <f t="shared" si="46"/>
        <v>34.660379770563964</v>
      </c>
      <c r="O68" s="11"/>
      <c r="P68" s="12"/>
      <c r="Q68" s="11"/>
      <c r="R68" s="13"/>
      <c r="S68" s="12"/>
      <c r="T68" s="13"/>
      <c r="U68" s="13"/>
      <c r="V68" s="13"/>
      <c r="W68" s="13"/>
      <c r="X68" s="13"/>
      <c r="Y68" s="13"/>
      <c r="Z68" s="13"/>
      <c r="AA68" s="13"/>
      <c r="AB68" s="13"/>
    </row>
    <row r="69" spans="1:28" s="14" customFormat="1" ht="12" x14ac:dyDescent="0.2">
      <c r="A69" s="123"/>
      <c r="B69" s="28" t="s">
        <v>210</v>
      </c>
      <c r="C69" s="29" t="s">
        <v>213</v>
      </c>
      <c r="D69" s="28" t="s">
        <v>214</v>
      </c>
      <c r="E69" s="30">
        <v>12</v>
      </c>
      <c r="F69" s="31">
        <v>24.840000000000003</v>
      </c>
      <c r="G69" s="31">
        <f t="shared" ref="G69:G89" si="47">F69*1.04</f>
        <v>25.833600000000004</v>
      </c>
      <c r="H69" s="31">
        <f t="shared" si="31"/>
        <v>26.866944000000004</v>
      </c>
      <c r="I69" s="31">
        <f t="shared" ref="I69:N89" si="48">H69*1.04</f>
        <v>27.941621760000004</v>
      </c>
      <c r="J69" s="31">
        <f t="shared" si="48"/>
        <v>29.059286630400006</v>
      </c>
      <c r="K69" s="31">
        <f t="shared" si="48"/>
        <v>30.221658095616007</v>
      </c>
      <c r="L69" s="31">
        <f t="shared" si="48"/>
        <v>31.430524419440648</v>
      </c>
      <c r="M69" s="31">
        <f t="shared" si="48"/>
        <v>32.687745396218276</v>
      </c>
      <c r="N69" s="46">
        <f t="shared" si="48"/>
        <v>33.995255212067008</v>
      </c>
      <c r="O69" s="11"/>
      <c r="P69" s="12"/>
      <c r="Q69" s="11"/>
      <c r="R69" s="13"/>
      <c r="S69" s="12"/>
      <c r="T69" s="13"/>
      <c r="U69" s="13"/>
      <c r="V69" s="13"/>
      <c r="W69" s="13"/>
      <c r="X69" s="13"/>
      <c r="Y69" s="13"/>
      <c r="Z69" s="13"/>
      <c r="AA69" s="13"/>
      <c r="AB69" s="13"/>
    </row>
    <row r="70" spans="1:28" s="14" customFormat="1" ht="12" x14ac:dyDescent="0.2">
      <c r="A70" s="123"/>
      <c r="B70" s="28" t="s">
        <v>215</v>
      </c>
      <c r="C70" s="29" t="s">
        <v>216</v>
      </c>
      <c r="D70" s="28" t="s">
        <v>217</v>
      </c>
      <c r="E70" s="30">
        <v>12</v>
      </c>
      <c r="F70" s="31">
        <v>25.812000000000001</v>
      </c>
      <c r="G70" s="31">
        <f t="shared" si="47"/>
        <v>26.844480000000001</v>
      </c>
      <c r="H70" s="31">
        <f t="shared" si="31"/>
        <v>27.918259200000001</v>
      </c>
      <c r="I70" s="31">
        <f t="shared" si="48"/>
        <v>29.034989568000004</v>
      </c>
      <c r="J70" s="31">
        <f t="shared" si="48"/>
        <v>30.196389150720005</v>
      </c>
      <c r="K70" s="31">
        <f t="shared" si="48"/>
        <v>31.404244716748806</v>
      </c>
      <c r="L70" s="31">
        <f t="shared" si="48"/>
        <v>32.660414505418757</v>
      </c>
      <c r="M70" s="31">
        <f t="shared" si="48"/>
        <v>33.966831085635505</v>
      </c>
      <c r="N70" s="46">
        <f t="shared" si="48"/>
        <v>35.325504329060927</v>
      </c>
      <c r="O70" s="11"/>
      <c r="P70" s="12"/>
      <c r="Q70" s="11"/>
      <c r="R70" s="13"/>
      <c r="S70" s="12"/>
      <c r="T70" s="13"/>
      <c r="U70" s="13"/>
      <c r="V70" s="13"/>
      <c r="W70" s="13"/>
      <c r="X70" s="13"/>
      <c r="Y70" s="13"/>
      <c r="Z70" s="13"/>
      <c r="AA70" s="13"/>
      <c r="AB70" s="13"/>
    </row>
    <row r="71" spans="1:28" s="14" customFormat="1" ht="12" x14ac:dyDescent="0.2">
      <c r="A71" s="123"/>
      <c r="B71" s="28" t="s">
        <v>218</v>
      </c>
      <c r="C71" s="29" t="s">
        <v>219</v>
      </c>
      <c r="D71" s="28" t="s">
        <v>220</v>
      </c>
      <c r="E71" s="30">
        <v>12</v>
      </c>
      <c r="F71" s="31">
        <v>10.260000000000002</v>
      </c>
      <c r="G71" s="31">
        <f t="shared" si="47"/>
        <v>10.670400000000003</v>
      </c>
      <c r="H71" s="31">
        <f t="shared" si="31"/>
        <v>11.097216000000003</v>
      </c>
      <c r="I71" s="31">
        <f t="shared" si="48"/>
        <v>11.541104640000004</v>
      </c>
      <c r="J71" s="31">
        <f t="shared" si="48"/>
        <v>12.002748825600005</v>
      </c>
      <c r="K71" s="31">
        <f t="shared" si="48"/>
        <v>12.482858778624005</v>
      </c>
      <c r="L71" s="31">
        <f t="shared" si="48"/>
        <v>12.982173129768965</v>
      </c>
      <c r="M71" s="31">
        <f t="shared" si="48"/>
        <v>13.501460054959724</v>
      </c>
      <c r="N71" s="46">
        <f t="shared" si="48"/>
        <v>14.041518457158114</v>
      </c>
      <c r="O71" s="11"/>
      <c r="P71" s="12"/>
      <c r="Q71" s="11"/>
      <c r="R71" s="13"/>
      <c r="S71" s="12"/>
      <c r="T71" s="13"/>
      <c r="U71" s="13"/>
      <c r="V71" s="13"/>
      <c r="W71" s="13"/>
      <c r="X71" s="13"/>
      <c r="Y71" s="13"/>
      <c r="Z71" s="13"/>
      <c r="AA71" s="13"/>
      <c r="AB71" s="13"/>
    </row>
    <row r="72" spans="1:28" s="14" customFormat="1" ht="12" x14ac:dyDescent="0.2">
      <c r="A72" s="123"/>
      <c r="B72" s="28" t="s">
        <v>218</v>
      </c>
      <c r="C72" s="29" t="s">
        <v>221</v>
      </c>
      <c r="D72" s="28" t="s">
        <v>222</v>
      </c>
      <c r="E72" s="30">
        <v>12</v>
      </c>
      <c r="F72" s="31">
        <v>9.5579999999999998</v>
      </c>
      <c r="G72" s="31">
        <f t="shared" si="47"/>
        <v>9.9403199999999998</v>
      </c>
      <c r="H72" s="31">
        <f t="shared" si="31"/>
        <v>10.337932800000001</v>
      </c>
      <c r="I72" s="31">
        <f t="shared" si="48"/>
        <v>10.751450112000001</v>
      </c>
      <c r="J72" s="31">
        <f t="shared" si="48"/>
        <v>11.181508116480002</v>
      </c>
      <c r="K72" s="31">
        <f t="shared" si="48"/>
        <v>11.628768441139202</v>
      </c>
      <c r="L72" s="31">
        <f t="shared" si="48"/>
        <v>12.093919178784772</v>
      </c>
      <c r="M72" s="31">
        <f t="shared" si="48"/>
        <v>12.577675945936162</v>
      </c>
      <c r="N72" s="46">
        <f t="shared" si="48"/>
        <v>13.080782983773609</v>
      </c>
      <c r="O72" s="11"/>
      <c r="P72" s="12"/>
      <c r="Q72" s="11"/>
      <c r="R72" s="13"/>
      <c r="S72" s="12"/>
      <c r="T72" s="13"/>
      <c r="U72" s="13"/>
      <c r="V72" s="13"/>
      <c r="W72" s="13"/>
      <c r="X72" s="13"/>
      <c r="Y72" s="13"/>
      <c r="Z72" s="13"/>
      <c r="AA72" s="13"/>
      <c r="AB72" s="13"/>
    </row>
    <row r="73" spans="1:28" s="14" customFormat="1" ht="12" x14ac:dyDescent="0.2">
      <c r="A73" s="123"/>
      <c r="B73" s="28" t="s">
        <v>223</v>
      </c>
      <c r="C73" s="29" t="s">
        <v>224</v>
      </c>
      <c r="D73" s="28" t="s">
        <v>225</v>
      </c>
      <c r="E73" s="30">
        <v>12</v>
      </c>
      <c r="F73" s="31">
        <v>4.32</v>
      </c>
      <c r="G73" s="31">
        <f t="shared" si="47"/>
        <v>4.4928000000000008</v>
      </c>
      <c r="H73" s="31">
        <f t="shared" si="31"/>
        <v>4.6725120000000011</v>
      </c>
      <c r="I73" s="31">
        <f t="shared" si="48"/>
        <v>4.8594124800000014</v>
      </c>
      <c r="J73" s="31">
        <f t="shared" si="48"/>
        <v>5.0537889792000019</v>
      </c>
      <c r="K73" s="31">
        <f t="shared" si="48"/>
        <v>5.2559405383680025</v>
      </c>
      <c r="L73" s="31">
        <f t="shared" si="48"/>
        <v>5.4661781599027224</v>
      </c>
      <c r="M73" s="31">
        <f t="shared" si="48"/>
        <v>5.6848252862988318</v>
      </c>
      <c r="N73" s="46">
        <f t="shared" si="48"/>
        <v>5.9122182977507851</v>
      </c>
      <c r="O73" s="11"/>
      <c r="P73" s="12"/>
      <c r="Q73" s="11"/>
      <c r="R73" s="13"/>
      <c r="S73" s="12"/>
      <c r="T73" s="13"/>
      <c r="U73" s="13"/>
      <c r="V73" s="13"/>
      <c r="W73" s="13"/>
      <c r="X73" s="13"/>
      <c r="Y73" s="13"/>
      <c r="Z73" s="13"/>
      <c r="AA73" s="13"/>
      <c r="AB73" s="13"/>
    </row>
    <row r="74" spans="1:28" s="14" customFormat="1" ht="12" x14ac:dyDescent="0.2">
      <c r="A74" s="123"/>
      <c r="B74" s="28" t="s">
        <v>218</v>
      </c>
      <c r="C74" s="29" t="s">
        <v>226</v>
      </c>
      <c r="D74" s="28" t="s">
        <v>227</v>
      </c>
      <c r="E74" s="30">
        <v>12</v>
      </c>
      <c r="F74" s="31">
        <v>7.4520000000000008</v>
      </c>
      <c r="G74" s="31">
        <f t="shared" si="47"/>
        <v>7.7500800000000014</v>
      </c>
      <c r="H74" s="31">
        <f t="shared" si="31"/>
        <v>8.0600832000000011</v>
      </c>
      <c r="I74" s="31">
        <f t="shared" si="48"/>
        <v>8.3824865280000012</v>
      </c>
      <c r="J74" s="31">
        <f t="shared" si="48"/>
        <v>8.7177859891200011</v>
      </c>
      <c r="K74" s="31">
        <f t="shared" si="48"/>
        <v>9.0664974286848015</v>
      </c>
      <c r="L74" s="31">
        <f t="shared" si="48"/>
        <v>9.4291573258321932</v>
      </c>
      <c r="M74" s="31">
        <f t="shared" si="48"/>
        <v>9.8063236188654805</v>
      </c>
      <c r="N74" s="46">
        <f t="shared" si="48"/>
        <v>10.198576563620101</v>
      </c>
      <c r="O74" s="11"/>
      <c r="P74" s="12"/>
      <c r="Q74" s="11"/>
      <c r="R74" s="13"/>
      <c r="S74" s="12"/>
      <c r="T74" s="13"/>
      <c r="U74" s="13"/>
      <c r="V74" s="13"/>
      <c r="W74" s="13"/>
      <c r="X74" s="13"/>
      <c r="Y74" s="13"/>
      <c r="Z74" s="13"/>
      <c r="AA74" s="13"/>
      <c r="AB74" s="13"/>
    </row>
    <row r="75" spans="1:28" s="14" customFormat="1" ht="12" x14ac:dyDescent="0.2">
      <c r="A75" s="123"/>
      <c r="B75" s="28" t="s">
        <v>228</v>
      </c>
      <c r="C75" s="29" t="s">
        <v>229</v>
      </c>
      <c r="D75" s="28" t="s">
        <v>230</v>
      </c>
      <c r="E75" s="30">
        <v>12</v>
      </c>
      <c r="F75" s="31">
        <v>19.334700000000002</v>
      </c>
      <c r="G75" s="31">
        <f t="shared" si="47"/>
        <v>20.108088000000002</v>
      </c>
      <c r="H75" s="31">
        <f t="shared" si="31"/>
        <v>20.912411520000003</v>
      </c>
      <c r="I75" s="31">
        <f t="shared" si="48"/>
        <v>21.748907980800002</v>
      </c>
      <c r="J75" s="31">
        <f t="shared" si="48"/>
        <v>22.618864300032001</v>
      </c>
      <c r="K75" s="31">
        <f t="shared" si="48"/>
        <v>23.523618872033282</v>
      </c>
      <c r="L75" s="31">
        <f t="shared" si="48"/>
        <v>24.464563626914615</v>
      </c>
      <c r="M75" s="31">
        <f t="shared" si="48"/>
        <v>25.443146171991199</v>
      </c>
      <c r="N75" s="46">
        <f t="shared" si="48"/>
        <v>26.460872018870848</v>
      </c>
      <c r="O75" s="11"/>
      <c r="P75" s="12"/>
      <c r="Q75" s="11"/>
      <c r="R75" s="13"/>
      <c r="S75" s="12"/>
      <c r="T75" s="13"/>
      <c r="U75" s="13"/>
      <c r="V75" s="13"/>
      <c r="W75" s="13"/>
      <c r="X75" s="13"/>
      <c r="Y75" s="13"/>
      <c r="Z75" s="13"/>
      <c r="AA75" s="13"/>
      <c r="AB75" s="13"/>
    </row>
    <row r="76" spans="1:28" s="14" customFormat="1" ht="12" x14ac:dyDescent="0.2">
      <c r="A76" s="123"/>
      <c r="B76" s="28" t="s">
        <v>228</v>
      </c>
      <c r="C76" s="29" t="s">
        <v>231</v>
      </c>
      <c r="D76" s="28" t="s">
        <v>232</v>
      </c>
      <c r="E76" s="30">
        <v>12</v>
      </c>
      <c r="F76" s="31">
        <v>22.68</v>
      </c>
      <c r="G76" s="31">
        <f t="shared" si="47"/>
        <v>23.587199999999999</v>
      </c>
      <c r="H76" s="31">
        <f t="shared" si="31"/>
        <v>24.530688000000001</v>
      </c>
      <c r="I76" s="31">
        <f t="shared" si="48"/>
        <v>25.511915520000002</v>
      </c>
      <c r="J76" s="31">
        <f t="shared" si="48"/>
        <v>26.532392140800003</v>
      </c>
      <c r="K76" s="31">
        <f t="shared" si="48"/>
        <v>27.593687826432003</v>
      </c>
      <c r="L76" s="31">
        <f t="shared" si="48"/>
        <v>28.697435339489285</v>
      </c>
      <c r="M76" s="31">
        <f t="shared" si="48"/>
        <v>29.845332753068856</v>
      </c>
      <c r="N76" s="46">
        <f t="shared" si="48"/>
        <v>31.039146063191613</v>
      </c>
      <c r="O76" s="11"/>
      <c r="P76" s="12"/>
      <c r="Q76" s="11"/>
      <c r="R76" s="13"/>
      <c r="S76" s="12"/>
      <c r="T76" s="13"/>
      <c r="U76" s="13"/>
      <c r="V76" s="13"/>
      <c r="W76" s="13"/>
      <c r="X76" s="13"/>
      <c r="Y76" s="13"/>
      <c r="Z76" s="13"/>
      <c r="AA76" s="13"/>
      <c r="AB76" s="13"/>
    </row>
    <row r="77" spans="1:28" s="14" customFormat="1" ht="12" x14ac:dyDescent="0.2">
      <c r="A77" s="123"/>
      <c r="B77" s="28" t="s">
        <v>228</v>
      </c>
      <c r="C77" s="29" t="s">
        <v>233</v>
      </c>
      <c r="D77" s="28" t="s">
        <v>234</v>
      </c>
      <c r="E77" s="30">
        <v>12</v>
      </c>
      <c r="F77" s="31">
        <v>17.928000000000004</v>
      </c>
      <c r="G77" s="31">
        <f t="shared" si="47"/>
        <v>18.645120000000006</v>
      </c>
      <c r="H77" s="31">
        <f t="shared" si="31"/>
        <v>19.390924800000008</v>
      </c>
      <c r="I77" s="31">
        <f t="shared" si="48"/>
        <v>20.16656179200001</v>
      </c>
      <c r="J77" s="31">
        <f t="shared" si="48"/>
        <v>20.973224263680013</v>
      </c>
      <c r="K77" s="31">
        <f t="shared" si="48"/>
        <v>21.812153234227214</v>
      </c>
      <c r="L77" s="31">
        <f t="shared" si="48"/>
        <v>22.684639363596304</v>
      </c>
      <c r="M77" s="31">
        <f t="shared" si="48"/>
        <v>23.592024938140156</v>
      </c>
      <c r="N77" s="46">
        <f t="shared" si="48"/>
        <v>24.535705935665764</v>
      </c>
      <c r="O77" s="11"/>
      <c r="P77" s="12"/>
      <c r="Q77" s="11"/>
      <c r="R77" s="13"/>
      <c r="S77" s="12"/>
      <c r="T77" s="13"/>
      <c r="U77" s="13"/>
      <c r="V77" s="13"/>
      <c r="W77" s="13"/>
      <c r="X77" s="13"/>
      <c r="Y77" s="13"/>
      <c r="Z77" s="13"/>
      <c r="AA77" s="13"/>
      <c r="AB77" s="13"/>
    </row>
    <row r="78" spans="1:28" s="14" customFormat="1" ht="12" x14ac:dyDescent="0.2">
      <c r="A78" s="123"/>
      <c r="B78" s="28" t="s">
        <v>228</v>
      </c>
      <c r="C78" s="29" t="s">
        <v>235</v>
      </c>
      <c r="D78" s="28" t="s">
        <v>236</v>
      </c>
      <c r="E78" s="30">
        <v>12</v>
      </c>
      <c r="F78" s="31">
        <v>19.98</v>
      </c>
      <c r="G78" s="31">
        <f t="shared" si="47"/>
        <v>20.779199999999999</v>
      </c>
      <c r="H78" s="31">
        <f t="shared" si="31"/>
        <v>21.610368000000001</v>
      </c>
      <c r="I78" s="31">
        <f t="shared" si="48"/>
        <v>22.47478272</v>
      </c>
      <c r="J78" s="31">
        <f t="shared" si="48"/>
        <v>23.3737740288</v>
      </c>
      <c r="K78" s="31">
        <f t="shared" si="48"/>
        <v>24.308724989952001</v>
      </c>
      <c r="L78" s="31">
        <f t="shared" si="48"/>
        <v>25.28107398955008</v>
      </c>
      <c r="M78" s="31">
        <f t="shared" si="48"/>
        <v>26.292316949132083</v>
      </c>
      <c r="N78" s="46">
        <f t="shared" si="48"/>
        <v>27.344009627097368</v>
      </c>
      <c r="O78" s="11"/>
      <c r="P78" s="12"/>
      <c r="Q78" s="11"/>
      <c r="R78" s="13"/>
      <c r="S78" s="12"/>
      <c r="T78" s="13"/>
      <c r="U78" s="13"/>
      <c r="V78" s="13"/>
      <c r="W78" s="13"/>
      <c r="X78" s="13"/>
      <c r="Y78" s="13"/>
      <c r="Z78" s="13"/>
      <c r="AA78" s="13"/>
      <c r="AB78" s="13"/>
    </row>
    <row r="79" spans="1:28" s="14" customFormat="1" ht="12" x14ac:dyDescent="0.2">
      <c r="A79" s="123"/>
      <c r="B79" s="28" t="s">
        <v>228</v>
      </c>
      <c r="C79" s="29" t="s">
        <v>237</v>
      </c>
      <c r="D79" s="28" t="s">
        <v>238</v>
      </c>
      <c r="E79" s="30">
        <v>12</v>
      </c>
      <c r="F79" s="31">
        <v>25.326000000000001</v>
      </c>
      <c r="G79" s="31">
        <f t="shared" si="47"/>
        <v>26.339040000000001</v>
      </c>
      <c r="H79" s="31">
        <f t="shared" si="31"/>
        <v>27.392601600000003</v>
      </c>
      <c r="I79" s="31">
        <f t="shared" si="48"/>
        <v>28.488305664000002</v>
      </c>
      <c r="J79" s="31">
        <f t="shared" si="48"/>
        <v>29.627837890560002</v>
      </c>
      <c r="K79" s="31">
        <f t="shared" si="48"/>
        <v>30.812951406182403</v>
      </c>
      <c r="L79" s="31">
        <f t="shared" si="48"/>
        <v>32.045469462429701</v>
      </c>
      <c r="M79" s="31">
        <f t="shared" si="48"/>
        <v>33.32728824092689</v>
      </c>
      <c r="N79" s="46">
        <f t="shared" si="48"/>
        <v>34.660379770563964</v>
      </c>
      <c r="O79" s="11"/>
      <c r="P79" s="12"/>
      <c r="Q79" s="11"/>
      <c r="R79" s="13"/>
      <c r="S79" s="12"/>
      <c r="T79" s="13"/>
      <c r="U79" s="13"/>
      <c r="V79" s="13"/>
      <c r="W79" s="13"/>
      <c r="X79" s="13"/>
      <c r="Y79" s="13"/>
      <c r="Z79" s="13"/>
      <c r="AA79" s="13"/>
      <c r="AB79" s="13"/>
    </row>
    <row r="80" spans="1:28" s="14" customFormat="1" ht="12" x14ac:dyDescent="0.2">
      <c r="A80" s="123"/>
      <c r="B80" s="28" t="s">
        <v>239</v>
      </c>
      <c r="C80" s="29" t="s">
        <v>240</v>
      </c>
      <c r="D80" s="28" t="s">
        <v>241</v>
      </c>
      <c r="E80" s="30">
        <v>12</v>
      </c>
      <c r="F80" s="31">
        <v>4.1580000000000004</v>
      </c>
      <c r="G80" s="31">
        <f t="shared" si="47"/>
        <v>4.3243200000000002</v>
      </c>
      <c r="H80" s="31">
        <f t="shared" si="31"/>
        <v>4.4972928000000003</v>
      </c>
      <c r="I80" s="31">
        <f t="shared" si="48"/>
        <v>4.6771845120000002</v>
      </c>
      <c r="J80" s="31">
        <f t="shared" si="48"/>
        <v>4.8642718924800006</v>
      </c>
      <c r="K80" s="31">
        <f t="shared" si="48"/>
        <v>5.0588427681792005</v>
      </c>
      <c r="L80" s="31">
        <f t="shared" si="48"/>
        <v>5.2611964789063688</v>
      </c>
      <c r="M80" s="31">
        <f t="shared" si="48"/>
        <v>5.4716443380626236</v>
      </c>
      <c r="N80" s="46">
        <f t="shared" si="48"/>
        <v>5.6905101115851284</v>
      </c>
      <c r="O80" s="11"/>
      <c r="P80" s="12"/>
      <c r="Q80" s="11"/>
      <c r="R80" s="13"/>
      <c r="S80" s="12"/>
      <c r="T80" s="13"/>
      <c r="U80" s="13"/>
      <c r="V80" s="13"/>
      <c r="W80" s="13"/>
      <c r="X80" s="13"/>
      <c r="Y80" s="13"/>
      <c r="Z80" s="13"/>
      <c r="AA80" s="13"/>
      <c r="AB80" s="13"/>
    </row>
    <row r="81" spans="1:28" s="14" customFormat="1" ht="12" x14ac:dyDescent="0.2">
      <c r="A81" s="123"/>
      <c r="B81" s="28" t="s">
        <v>242</v>
      </c>
      <c r="C81" s="29" t="s">
        <v>243</v>
      </c>
      <c r="D81" s="28" t="s">
        <v>244</v>
      </c>
      <c r="E81" s="30">
        <v>12</v>
      </c>
      <c r="F81" s="31">
        <v>8.370000000000001</v>
      </c>
      <c r="G81" s="31">
        <f t="shared" si="47"/>
        <v>8.7048000000000005</v>
      </c>
      <c r="H81" s="31">
        <f t="shared" si="31"/>
        <v>9.0529920000000015</v>
      </c>
      <c r="I81" s="31">
        <f t="shared" si="48"/>
        <v>9.4151116800000025</v>
      </c>
      <c r="J81" s="31">
        <f t="shared" si="48"/>
        <v>9.7917161472000025</v>
      </c>
      <c r="K81" s="31">
        <f t="shared" si="48"/>
        <v>10.183384793088003</v>
      </c>
      <c r="L81" s="31">
        <f t="shared" si="48"/>
        <v>10.590720184811524</v>
      </c>
      <c r="M81" s="31">
        <f t="shared" si="48"/>
        <v>11.014348992203985</v>
      </c>
      <c r="N81" s="46">
        <f t="shared" si="48"/>
        <v>11.454922951892145</v>
      </c>
      <c r="O81" s="11"/>
      <c r="P81" s="12"/>
      <c r="Q81" s="11"/>
      <c r="R81" s="13"/>
      <c r="S81" s="12"/>
      <c r="T81" s="13"/>
      <c r="U81" s="13"/>
      <c r="V81" s="13"/>
      <c r="W81" s="13"/>
      <c r="X81" s="13"/>
      <c r="Y81" s="13"/>
      <c r="Z81" s="13"/>
      <c r="AA81" s="13"/>
      <c r="AB81" s="13"/>
    </row>
    <row r="82" spans="1:28" s="14" customFormat="1" ht="12" x14ac:dyDescent="0.2">
      <c r="A82" s="123"/>
      <c r="B82" s="28" t="s">
        <v>245</v>
      </c>
      <c r="C82" s="29" t="s">
        <v>246</v>
      </c>
      <c r="D82" s="28" t="s">
        <v>247</v>
      </c>
      <c r="E82" s="30">
        <v>12</v>
      </c>
      <c r="F82" s="31">
        <v>7.128000000000001</v>
      </c>
      <c r="G82" s="31">
        <f t="shared" si="47"/>
        <v>7.413120000000001</v>
      </c>
      <c r="H82" s="31">
        <f t="shared" si="31"/>
        <v>7.7096448000000013</v>
      </c>
      <c r="I82" s="31">
        <f t="shared" si="48"/>
        <v>8.0180305920000023</v>
      </c>
      <c r="J82" s="31">
        <f t="shared" si="48"/>
        <v>8.338751815680002</v>
      </c>
      <c r="K82" s="31">
        <f t="shared" si="48"/>
        <v>8.6723018883072029</v>
      </c>
      <c r="L82" s="31">
        <f t="shared" si="48"/>
        <v>9.0191939638394913</v>
      </c>
      <c r="M82" s="31">
        <f t="shared" si="48"/>
        <v>9.3799617223930714</v>
      </c>
      <c r="N82" s="46">
        <f t="shared" si="48"/>
        <v>9.7551601912887946</v>
      </c>
      <c r="O82" s="11"/>
      <c r="P82" s="12"/>
      <c r="Q82" s="11"/>
      <c r="R82" s="13"/>
      <c r="S82" s="12"/>
      <c r="T82" s="13"/>
      <c r="U82" s="13"/>
      <c r="V82" s="13"/>
      <c r="W82" s="13"/>
      <c r="X82" s="13"/>
      <c r="Y82" s="13"/>
      <c r="Z82" s="13"/>
      <c r="AA82" s="13"/>
      <c r="AB82" s="13"/>
    </row>
    <row r="83" spans="1:28" s="14" customFormat="1" ht="12" x14ac:dyDescent="0.2">
      <c r="A83" s="123"/>
      <c r="B83" s="28" t="s">
        <v>248</v>
      </c>
      <c r="C83" s="29" t="s">
        <v>249</v>
      </c>
      <c r="D83" s="28" t="s">
        <v>250</v>
      </c>
      <c r="E83" s="30">
        <v>12</v>
      </c>
      <c r="F83" s="31">
        <v>89.207999999999998</v>
      </c>
      <c r="G83" s="31">
        <f t="shared" si="47"/>
        <v>92.776319999999998</v>
      </c>
      <c r="H83" s="31">
        <f t="shared" si="31"/>
        <v>96.487372800000003</v>
      </c>
      <c r="I83" s="31">
        <f t="shared" si="48"/>
        <v>100.34686771200001</v>
      </c>
      <c r="J83" s="31">
        <f t="shared" si="48"/>
        <v>104.36074242048001</v>
      </c>
      <c r="K83" s="31">
        <f t="shared" si="48"/>
        <v>108.53517211729921</v>
      </c>
      <c r="L83" s="31">
        <f t="shared" si="48"/>
        <v>112.87657900199119</v>
      </c>
      <c r="M83" s="31">
        <f t="shared" si="48"/>
        <v>117.39164216207084</v>
      </c>
      <c r="N83" s="46">
        <f t="shared" si="48"/>
        <v>122.08730784855368</v>
      </c>
      <c r="O83" s="11"/>
      <c r="P83" s="12"/>
      <c r="Q83" s="11"/>
      <c r="R83" s="13"/>
      <c r="S83" s="12"/>
      <c r="T83" s="13"/>
      <c r="U83" s="13"/>
      <c r="V83" s="13"/>
      <c r="W83" s="13"/>
      <c r="X83" s="13"/>
      <c r="Y83" s="13"/>
      <c r="Z83" s="13"/>
      <c r="AA83" s="13"/>
      <c r="AB83" s="13"/>
    </row>
    <row r="84" spans="1:28" s="14" customFormat="1" ht="12" x14ac:dyDescent="0.2">
      <c r="A84" s="123"/>
      <c r="B84" s="28" t="s">
        <v>251</v>
      </c>
      <c r="C84" s="29" t="s">
        <v>252</v>
      </c>
      <c r="D84" s="28" t="s">
        <v>253</v>
      </c>
      <c r="E84" s="30">
        <v>12</v>
      </c>
      <c r="F84" s="31">
        <v>31.32</v>
      </c>
      <c r="G84" s="31">
        <f t="shared" si="47"/>
        <v>32.572800000000001</v>
      </c>
      <c r="H84" s="31">
        <f t="shared" si="31"/>
        <v>33.875712</v>
      </c>
      <c r="I84" s="31">
        <f t="shared" si="48"/>
        <v>35.230740480000001</v>
      </c>
      <c r="J84" s="31">
        <f t="shared" si="48"/>
        <v>36.639970099199999</v>
      </c>
      <c r="K84" s="31">
        <f t="shared" si="48"/>
        <v>38.105568903167999</v>
      </c>
      <c r="L84" s="31">
        <f t="shared" si="48"/>
        <v>39.629791659294717</v>
      </c>
      <c r="M84" s="31">
        <f t="shared" si="48"/>
        <v>41.214983325666509</v>
      </c>
      <c r="N84" s="46">
        <f t="shared" si="48"/>
        <v>42.863582658693169</v>
      </c>
      <c r="O84" s="11"/>
      <c r="P84" s="12"/>
      <c r="Q84" s="11"/>
      <c r="R84" s="13"/>
      <c r="S84" s="12"/>
      <c r="T84" s="13"/>
      <c r="U84" s="13"/>
      <c r="V84" s="13"/>
      <c r="W84" s="13"/>
      <c r="X84" s="13"/>
      <c r="Y84" s="13"/>
      <c r="Z84" s="13"/>
      <c r="AA84" s="13"/>
      <c r="AB84" s="13"/>
    </row>
    <row r="85" spans="1:28" s="14" customFormat="1" ht="12" x14ac:dyDescent="0.2">
      <c r="A85" s="123"/>
      <c r="B85" s="28" t="s">
        <v>251</v>
      </c>
      <c r="C85" s="29" t="s">
        <v>254</v>
      </c>
      <c r="D85" s="28" t="s">
        <v>255</v>
      </c>
      <c r="E85" s="30">
        <v>12</v>
      </c>
      <c r="F85" s="31">
        <v>36.18</v>
      </c>
      <c r="G85" s="31">
        <f t="shared" si="47"/>
        <v>37.627200000000002</v>
      </c>
      <c r="H85" s="31">
        <f t="shared" si="31"/>
        <v>39.132288000000003</v>
      </c>
      <c r="I85" s="31">
        <f t="shared" si="48"/>
        <v>40.697579520000005</v>
      </c>
      <c r="J85" s="31">
        <f t="shared" si="48"/>
        <v>42.325482700800009</v>
      </c>
      <c r="K85" s="31">
        <f t="shared" si="48"/>
        <v>44.018502008832009</v>
      </c>
      <c r="L85" s="31">
        <f t="shared" si="48"/>
        <v>45.779242089185288</v>
      </c>
      <c r="M85" s="31">
        <f t="shared" si="48"/>
        <v>47.610411772752698</v>
      </c>
      <c r="N85" s="46">
        <f t="shared" si="48"/>
        <v>49.514828243662805</v>
      </c>
      <c r="O85" s="11"/>
      <c r="P85" s="12"/>
      <c r="Q85" s="11"/>
      <c r="R85" s="13"/>
      <c r="S85" s="12"/>
      <c r="T85" s="13"/>
      <c r="U85" s="13"/>
      <c r="V85" s="13"/>
      <c r="W85" s="13"/>
      <c r="X85" s="13"/>
      <c r="Y85" s="13"/>
      <c r="Z85" s="13"/>
      <c r="AA85" s="13"/>
      <c r="AB85" s="13"/>
    </row>
    <row r="86" spans="1:28" s="14" customFormat="1" ht="12" x14ac:dyDescent="0.2">
      <c r="A86" s="123"/>
      <c r="B86" s="28" t="s">
        <v>251</v>
      </c>
      <c r="C86" s="29" t="s">
        <v>256</v>
      </c>
      <c r="D86" s="28" t="s">
        <v>257</v>
      </c>
      <c r="E86" s="30">
        <v>12</v>
      </c>
      <c r="F86" s="31">
        <v>41.580000000000005</v>
      </c>
      <c r="G86" s="31">
        <f t="shared" si="47"/>
        <v>43.243200000000009</v>
      </c>
      <c r="H86" s="31">
        <f t="shared" si="31"/>
        <v>44.97292800000001</v>
      </c>
      <c r="I86" s="31">
        <f t="shared" si="48"/>
        <v>46.771845120000009</v>
      </c>
      <c r="J86" s="31">
        <f t="shared" si="48"/>
        <v>48.642718924800008</v>
      </c>
      <c r="K86" s="31">
        <f t="shared" si="48"/>
        <v>50.588427681792012</v>
      </c>
      <c r="L86" s="31">
        <f t="shared" si="48"/>
        <v>52.611964789063691</v>
      </c>
      <c r="M86" s="31">
        <f t="shared" si="48"/>
        <v>54.716443380626238</v>
      </c>
      <c r="N86" s="46">
        <f t="shared" si="48"/>
        <v>56.905101115851288</v>
      </c>
      <c r="O86" s="11"/>
      <c r="P86" s="12"/>
      <c r="Q86" s="11"/>
      <c r="R86" s="13"/>
      <c r="S86" s="12"/>
      <c r="T86" s="13"/>
      <c r="U86" s="13"/>
      <c r="V86" s="13"/>
      <c r="W86" s="13"/>
      <c r="X86" s="13"/>
      <c r="Y86" s="13"/>
      <c r="Z86" s="13"/>
      <c r="AA86" s="13"/>
      <c r="AB86" s="13"/>
    </row>
    <row r="87" spans="1:28" s="14" customFormat="1" ht="12" x14ac:dyDescent="0.2">
      <c r="A87" s="123"/>
      <c r="B87" s="28" t="s">
        <v>251</v>
      </c>
      <c r="C87" s="29" t="s">
        <v>258</v>
      </c>
      <c r="D87" s="28" t="s">
        <v>259</v>
      </c>
      <c r="E87" s="30">
        <v>12</v>
      </c>
      <c r="F87" s="31">
        <v>39.96</v>
      </c>
      <c r="G87" s="31">
        <f t="shared" si="47"/>
        <v>41.558399999999999</v>
      </c>
      <c r="H87" s="31">
        <f t="shared" si="31"/>
        <v>43.220736000000002</v>
      </c>
      <c r="I87" s="31">
        <f t="shared" si="48"/>
        <v>44.949565440000001</v>
      </c>
      <c r="J87" s="31">
        <f t="shared" si="48"/>
        <v>46.7475480576</v>
      </c>
      <c r="K87" s="31">
        <f t="shared" si="48"/>
        <v>48.617449979904002</v>
      </c>
      <c r="L87" s="31">
        <f t="shared" si="48"/>
        <v>50.56214797910016</v>
      </c>
      <c r="M87" s="31">
        <f t="shared" si="48"/>
        <v>52.584633898264165</v>
      </c>
      <c r="N87" s="46">
        <f t="shared" si="48"/>
        <v>54.688019254194735</v>
      </c>
      <c r="O87" s="11"/>
      <c r="P87" s="12"/>
      <c r="Q87" s="11"/>
      <c r="R87" s="13"/>
      <c r="S87" s="12"/>
      <c r="T87" s="13"/>
      <c r="U87" s="13"/>
      <c r="V87" s="13"/>
      <c r="W87" s="13"/>
      <c r="X87" s="13"/>
      <c r="Y87" s="13"/>
      <c r="Z87" s="13"/>
      <c r="AA87" s="13"/>
      <c r="AB87" s="13"/>
    </row>
    <row r="88" spans="1:28" s="14" customFormat="1" ht="12" x14ac:dyDescent="0.2">
      <c r="A88" s="123"/>
      <c r="B88" s="28" t="s">
        <v>251</v>
      </c>
      <c r="C88" s="29" t="s">
        <v>260</v>
      </c>
      <c r="D88" s="28" t="s">
        <v>261</v>
      </c>
      <c r="E88" s="30">
        <v>12</v>
      </c>
      <c r="F88" s="31">
        <v>43.631999999999998</v>
      </c>
      <c r="G88" s="31">
        <f t="shared" si="47"/>
        <v>45.377279999999999</v>
      </c>
      <c r="H88" s="31">
        <f t="shared" si="31"/>
        <v>47.192371200000004</v>
      </c>
      <c r="I88" s="31">
        <f t="shared" si="48"/>
        <v>49.080066048000006</v>
      </c>
      <c r="J88" s="31">
        <f t="shared" si="48"/>
        <v>51.043268689920005</v>
      </c>
      <c r="K88" s="31">
        <f t="shared" si="48"/>
        <v>53.084999437516807</v>
      </c>
      <c r="L88" s="31">
        <f t="shared" si="48"/>
        <v>55.208399415017482</v>
      </c>
      <c r="M88" s="31">
        <f t="shared" si="48"/>
        <v>57.416735391618182</v>
      </c>
      <c r="N88" s="46">
        <f t="shared" si="48"/>
        <v>59.713404807282913</v>
      </c>
      <c r="O88" s="11"/>
      <c r="P88" s="12"/>
      <c r="Q88" s="11"/>
      <c r="R88" s="13"/>
      <c r="S88" s="12"/>
      <c r="T88" s="13"/>
      <c r="U88" s="13"/>
      <c r="V88" s="13"/>
      <c r="W88" s="13"/>
      <c r="X88" s="13"/>
      <c r="Y88" s="13"/>
      <c r="Z88" s="13"/>
      <c r="AA88" s="13"/>
      <c r="AB88" s="13"/>
    </row>
    <row r="89" spans="1:28" s="14" customFormat="1" ht="12.75" thickBot="1" x14ac:dyDescent="0.25">
      <c r="A89" s="124"/>
      <c r="B89" s="47" t="s">
        <v>251</v>
      </c>
      <c r="C89" s="48" t="s">
        <v>262</v>
      </c>
      <c r="D89" s="47" t="s">
        <v>263</v>
      </c>
      <c r="E89" s="49">
        <v>12</v>
      </c>
      <c r="F89" s="50">
        <v>48.546000000000006</v>
      </c>
      <c r="G89" s="50">
        <f t="shared" si="47"/>
        <v>50.487840000000006</v>
      </c>
      <c r="H89" s="31">
        <f t="shared" si="31"/>
        <v>52.507353600000009</v>
      </c>
      <c r="I89" s="50">
        <f t="shared" si="48"/>
        <v>54.607647744000012</v>
      </c>
      <c r="J89" s="50">
        <f t="shared" si="48"/>
        <v>56.791953653760011</v>
      </c>
      <c r="K89" s="50">
        <f t="shared" si="48"/>
        <v>59.063631799910411</v>
      </c>
      <c r="L89" s="50">
        <f t="shared" si="48"/>
        <v>61.426177071906828</v>
      </c>
      <c r="M89" s="50">
        <f t="shared" si="48"/>
        <v>63.8832241547831</v>
      </c>
      <c r="N89" s="51">
        <f t="shared" si="48"/>
        <v>66.438553120974433</v>
      </c>
      <c r="O89" s="11"/>
      <c r="P89" s="12"/>
      <c r="Q89" s="11"/>
      <c r="R89" s="13"/>
      <c r="S89" s="12"/>
      <c r="T89" s="13"/>
      <c r="U89" s="13"/>
      <c r="V89" s="13"/>
      <c r="W89" s="13"/>
      <c r="X89" s="13"/>
      <c r="Y89" s="13"/>
      <c r="Z89" s="13"/>
      <c r="AA89" s="13"/>
      <c r="AB89" s="13"/>
    </row>
    <row r="90" spans="1:28" ht="14.25" customHeight="1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4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4.25" customHeight="1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4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4.25" customHeight="1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4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4.25" customHeight="1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4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4.25" customHeight="1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4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4.25" customHeight="1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4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4.25" customHeight="1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4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4.25" customHeight="1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4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4.25" customHeight="1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4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4.25" customHeight="1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4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4.25" customHeight="1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4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4.25" customHeight="1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4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4.25" customHeight="1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4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4.25" customHeight="1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4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4.25" customHeight="1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4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4.25" customHeight="1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4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4.25" customHeight="1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4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4.25" customHeight="1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4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4.25" customHeight="1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4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4.25" customHeight="1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4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4.25" customHeight="1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4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4.25" customHeight="1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4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4.25" customHeight="1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4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4.25" customHeight="1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4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4.25" customHeight="1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4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4.25" customHeight="1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4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4.25" customHeight="1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4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4.25" customHeight="1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4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4.25" customHeight="1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4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4.25" customHeight="1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4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14.25" customHeight="1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4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ht="14.25" customHeight="1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4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ht="14.25" customHeight="1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4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14.25" customHeight="1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4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4.25" customHeight="1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4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4.25" customHeight="1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4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4.25" customHeight="1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4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4.25" customHeight="1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4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4.25" customHeight="1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4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4.25" customHeight="1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4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4.25" customHeight="1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4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ht="14.25" customHeight="1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4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ht="14.25" customHeight="1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4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ht="14.25" customHeight="1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4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ht="14.25" customHeight="1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4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ht="14.25" customHeight="1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4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ht="14.25" customHeight="1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4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ht="14.25" customHeight="1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4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ht="14.25" customHeight="1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4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ht="14.25" customHeight="1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4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ht="14.25" customHeight="1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4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ht="14.25" customHeight="1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4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ht="14.25" customHeight="1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4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ht="14.25" customHeight="1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4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ht="14.25" customHeight="1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4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ht="14.25" customHeight="1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4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ht="14.25" customHeight="1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4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ht="14.25" customHeight="1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4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ht="14.25" customHeight="1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4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ht="14.25" customHeight="1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4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ht="14.25" customHeight="1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4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ht="14.25" customHeight="1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4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ht="14.25" customHeight="1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4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ht="14.25" customHeight="1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4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ht="14.25" customHeight="1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4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ht="14.25" customHeight="1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4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ht="14.25" customHeight="1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4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ht="14.25" customHeight="1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4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ht="14.25" customHeight="1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4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ht="14.25" customHeight="1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4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ht="14.25" customHeight="1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4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ht="14.25" customHeight="1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4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ht="14.25" customHeight="1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4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ht="14.25" customHeight="1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4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ht="14.25" customHeight="1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4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ht="14.25" customHeight="1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4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ht="14.25" customHeight="1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4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14.25" customHeight="1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4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ht="14.25" customHeight="1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4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ht="14.25" customHeight="1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4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14.25" customHeight="1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4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14.25" customHeight="1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4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14.25" customHeight="1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4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14.25" customHeight="1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4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14.25" customHeight="1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4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14.25" customHeight="1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4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ht="14.25" customHeight="1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4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ht="14.25" customHeight="1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4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ht="14.25" customHeight="1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4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ht="14.25" customHeight="1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4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ht="14.25" customHeight="1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4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ht="14.25" customHeight="1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4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ht="14.25" customHeight="1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4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ht="14.25" customHeight="1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4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ht="14.25" customHeight="1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4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ht="14.25" customHeight="1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4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ht="14.25" customHeight="1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4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14.25" customHeight="1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4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14.25" customHeight="1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4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14.25" customHeight="1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4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ht="14.25" customHeight="1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4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ht="14.25" customHeight="1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4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ht="14.25" customHeight="1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4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ht="14.25" customHeight="1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4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ht="14.25" customHeight="1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4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ht="14.25" customHeight="1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4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ht="14.25" customHeight="1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4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ht="14.25" customHeight="1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4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ht="14.25" customHeight="1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4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ht="14.25" customHeight="1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4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ht="14.25" customHeight="1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4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ht="14.25" customHeight="1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4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ht="14.25" customHeight="1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4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ht="14.25" customHeight="1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4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ht="14.25" customHeight="1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4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ht="14.25" customHeight="1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4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ht="14.25" customHeight="1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4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14.25" customHeight="1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4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ht="14.25" customHeight="1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4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ht="14.25" customHeight="1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4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ht="14.25" customHeight="1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4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ht="14.25" customHeight="1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4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ht="14.25" customHeight="1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4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ht="14.25" customHeight="1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4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ht="14.25" customHeight="1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4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ht="14.25" customHeight="1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4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ht="14.25" customHeight="1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4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ht="14.25" customHeight="1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4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ht="14.25" customHeight="1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4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ht="14.25" customHeight="1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4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ht="14.25" customHeight="1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4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ht="14.25" customHeight="1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4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ht="14.25" customHeight="1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4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ht="14.25" customHeight="1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4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ht="14.25" customHeight="1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4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ht="14.25" customHeight="1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4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ht="14.25" customHeight="1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4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ht="14.25" customHeight="1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4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ht="14.25" customHeight="1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4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ht="14.25" customHeight="1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4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ht="14.25" customHeight="1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4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ht="14.25" customHeight="1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4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ht="14.25" customHeight="1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4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ht="14.25" customHeight="1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4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ht="14.25" customHeight="1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4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ht="14.25" customHeight="1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4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ht="14.25" customHeight="1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4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ht="14.25" customHeight="1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4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ht="14.25" customHeight="1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4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ht="14.25" customHeight="1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4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14.25" customHeight="1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4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14.25" customHeight="1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4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ht="14.25" customHeight="1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4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ht="14.25" customHeight="1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4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ht="14.25" customHeight="1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4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ht="14.25" customHeight="1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4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ht="14.25" customHeight="1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4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14.25" customHeight="1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4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ht="14.25" customHeight="1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4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ht="14.25" customHeight="1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4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ht="14.25" customHeight="1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4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ht="14.25" customHeight="1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4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14.25" customHeight="1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4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ht="14.25" customHeight="1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4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ht="14.25" customHeight="1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4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ht="14.25" customHeight="1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4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ht="14.25" customHeight="1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4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8" ht="14.25" customHeight="1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4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8" ht="14.25" customHeight="1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4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8" ht="14.25" customHeight="1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4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8" ht="14.25" customHeight="1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4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8" ht="14.25" customHeight="1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4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8" ht="14.25" customHeight="1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4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spans="1:28" ht="14.25" customHeight="1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4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spans="1:28" ht="14.25" customHeight="1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4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spans="1:28" ht="14.25" customHeight="1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4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spans="1:28" ht="14.25" customHeight="1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4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spans="1:28" ht="14.25" customHeight="1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4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spans="1:28" ht="14.25" customHeight="1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4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spans="1:28" ht="14.25" customHeight="1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4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spans="1:28" ht="14.25" customHeight="1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4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spans="1:28" ht="14.25" customHeight="1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4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spans="1:28" ht="14.25" customHeight="1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4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spans="1:28" ht="14.25" customHeight="1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4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spans="1:28" ht="14.25" customHeight="1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4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spans="1:28" ht="14.25" customHeight="1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4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spans="1:28" ht="14.25" customHeight="1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4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spans="1:28" ht="14.25" customHeight="1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4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spans="1:28" ht="14.25" customHeight="1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4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spans="1:28" ht="14.25" customHeight="1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4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spans="1:28" ht="14.25" customHeight="1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4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spans="1:28" ht="14.25" customHeight="1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4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spans="1:28" ht="14.25" customHeight="1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4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spans="1:28" ht="14.25" customHeight="1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4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spans="1:28" ht="14.25" customHeight="1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4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spans="1:28" ht="14.25" customHeight="1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4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spans="1:28" ht="14.25" customHeight="1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4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spans="1:28" ht="14.25" customHeight="1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4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spans="1:28" ht="14.25" customHeight="1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4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spans="1:28" ht="14.25" customHeight="1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4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 spans="1:28" ht="14.25" customHeight="1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4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spans="1:28" ht="14.25" customHeight="1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4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 spans="1:28" ht="14.25" customHeight="1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4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spans="1:28" ht="14.25" customHeight="1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4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spans="1:28" ht="14.25" customHeight="1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4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spans="1:28" ht="14.25" customHeight="1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4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 spans="1:28" ht="14.25" customHeight="1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4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 spans="1:28" ht="14.25" customHeight="1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4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spans="1:28" ht="14.25" customHeight="1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4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spans="1:28" ht="14.25" customHeight="1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4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spans="1:28" ht="14.25" customHeight="1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4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 spans="1:28" ht="14.25" customHeight="1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4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spans="1:28" ht="14.25" customHeight="1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4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spans="1:28" ht="14.25" customHeight="1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4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spans="1:28" ht="14.25" customHeight="1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4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spans="1:28" ht="14.25" customHeight="1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4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spans="1:28" ht="14.25" customHeight="1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4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spans="1:28" ht="14.25" customHeight="1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4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 spans="1:28" ht="14.25" customHeight="1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4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spans="1:28" ht="14.25" customHeight="1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4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 spans="1:28" ht="14.25" customHeight="1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4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spans="1:28" ht="14.25" customHeight="1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4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 spans="1:28" ht="14.25" customHeight="1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4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 spans="1:28" ht="14.25" customHeight="1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4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 spans="1:28" ht="14.25" customHeight="1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4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 spans="1:28" ht="14.25" customHeight="1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4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 spans="1:28" ht="14.25" customHeight="1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4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 spans="1:28" ht="14.25" customHeight="1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4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 spans="1:28" ht="14.25" customHeight="1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4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 spans="1:28" ht="14.25" customHeight="1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4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 spans="1:28" ht="14.25" customHeight="1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4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 spans="1:28" ht="14.25" customHeight="1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4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 spans="1:28" ht="14.25" customHeight="1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4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 spans="1:28" ht="14.25" customHeight="1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4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 spans="1:28" ht="14.25" customHeight="1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4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 spans="1:28" ht="14.25" customHeight="1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4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 spans="1:28" ht="14.25" customHeight="1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4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 spans="1:28" ht="14.25" customHeight="1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4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 spans="1:28" ht="14.25" customHeight="1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4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 spans="1:28" ht="14.25" customHeight="1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4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 spans="1:28" ht="14.25" customHeight="1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4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 spans="1:28" ht="14.25" customHeight="1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4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 spans="1:28" ht="14.25" customHeight="1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4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 spans="1:28" ht="14.25" customHeight="1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4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 spans="1:28" ht="14.25" customHeight="1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4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 spans="1:28" ht="14.25" customHeight="1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4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 spans="1:28" ht="14.25" customHeight="1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4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 spans="1:28" ht="14.25" customHeight="1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4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 spans="1:28" ht="14.25" customHeight="1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4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 spans="1:28" ht="14.25" customHeight="1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4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 spans="1:28" ht="14.25" customHeight="1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4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 spans="1:28" ht="14.25" customHeight="1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4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 spans="1:28" ht="14.25" customHeight="1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4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 spans="1:28" ht="14.25" customHeight="1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4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 spans="1:28" ht="14.25" customHeight="1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4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 spans="1:28" ht="14.25" customHeight="1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4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 spans="1:28" ht="14.25" customHeight="1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4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 spans="1:28" ht="14.25" customHeight="1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4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 spans="1:28" ht="14.25" customHeight="1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4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 spans="1:28" ht="14.25" customHeight="1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4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 spans="1:28" ht="14.25" customHeight="1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4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 spans="1:28" ht="14.25" customHeight="1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4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 spans="1:28" ht="14.25" customHeight="1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4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 spans="1:28" ht="14.25" customHeight="1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4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 spans="1:28" ht="14.25" customHeight="1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4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 spans="1:28" ht="14.25" customHeight="1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4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 spans="1:28" ht="14.25" customHeight="1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4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 spans="1:28" ht="14.25" customHeight="1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4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 spans="1:28" ht="14.25" customHeight="1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4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 spans="1:28" ht="14.25" customHeight="1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4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 spans="1:28" ht="14.25" customHeight="1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4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 spans="1:28" ht="14.25" customHeight="1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4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 spans="1:28" ht="14.25" customHeight="1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4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 spans="1:28" ht="14.25" customHeight="1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4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 spans="1:28" ht="14.25" customHeight="1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4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 spans="1:28" ht="14.25" customHeight="1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4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 spans="1:28" ht="14.25" customHeight="1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4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 spans="1:28" ht="14.25" customHeight="1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4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 spans="1:28" ht="14.25" customHeight="1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4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 spans="1:28" ht="14.25" customHeight="1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4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 spans="1:28" ht="14.25" customHeight="1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4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 spans="1:28" ht="14.25" customHeight="1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4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 spans="1:28" ht="14.25" customHeight="1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4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 spans="1:28" ht="14.25" customHeight="1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4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 spans="1:28" ht="14.25" customHeight="1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4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 spans="1:28" ht="14.25" customHeight="1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4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 spans="1:28" ht="14.25" customHeight="1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4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 spans="1:28" ht="14.25" customHeight="1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4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 spans="1:28" ht="14.25" customHeight="1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4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 spans="1:28" ht="14.25" customHeight="1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4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 spans="1:28" ht="14.25" customHeight="1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4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 spans="1:28" ht="14.25" customHeight="1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4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 spans="1:28" ht="14.25" customHeight="1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4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 spans="1:28" ht="14.25" customHeight="1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4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 spans="1:28" ht="14.25" customHeight="1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4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spans="1:28" ht="14.25" customHeight="1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4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 spans="1:28" ht="14.25" customHeight="1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4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 spans="1:28" ht="14.25" customHeight="1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4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 spans="1:28" ht="14.25" customHeight="1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4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 spans="1:28" ht="14.25" customHeight="1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4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 spans="1:28" ht="14.25" customHeight="1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4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 spans="1:28" ht="14.25" customHeight="1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4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 spans="1:28" ht="14.25" customHeight="1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4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 spans="1:28" ht="14.25" customHeight="1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4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 spans="1:28" ht="14.25" customHeight="1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4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 spans="1:28" ht="14.25" customHeight="1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4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 spans="1:28" ht="14.25" customHeight="1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4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 spans="1:28" ht="14.25" customHeight="1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4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 spans="1:28" ht="14.25" customHeight="1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4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 spans="1:28" ht="14.25" customHeight="1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4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 spans="1:28" ht="14.25" customHeight="1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4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 spans="1:28" ht="14.25" customHeight="1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4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 spans="1:28" ht="14.25" customHeight="1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4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 spans="1:28" ht="14.25" customHeight="1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4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 spans="1:28" ht="14.25" customHeight="1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4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 spans="1:28" ht="14.25" customHeight="1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4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 spans="1:28" ht="14.25" customHeight="1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4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 spans="1:28" ht="14.25" customHeight="1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4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 spans="1:28" ht="14.25" customHeight="1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4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 spans="1:28" ht="14.25" customHeight="1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4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 spans="1:28" ht="14.25" customHeight="1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4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 spans="1:28" ht="14.25" customHeight="1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4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 spans="1:28" ht="14.25" customHeight="1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4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 spans="1:28" ht="14.25" customHeight="1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4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 spans="1:28" ht="14.25" customHeight="1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4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 spans="1:28" ht="14.25" customHeight="1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4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 spans="1:28" ht="14.25" customHeight="1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4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 spans="1:28" ht="14.25" customHeight="1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4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 spans="1:28" ht="14.25" customHeight="1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4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 spans="1:28" ht="14.25" customHeight="1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4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 spans="1:28" ht="14.25" customHeight="1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4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 spans="1:28" ht="14.25" customHeight="1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4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 spans="1:28" ht="14.25" customHeight="1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4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 spans="1:28" ht="14.25" customHeight="1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4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 spans="1:28" ht="14.25" customHeight="1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4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 spans="1:28" ht="14.25" customHeight="1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4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 spans="1:28" ht="14.25" customHeight="1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4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 spans="1:28" ht="14.25" customHeight="1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4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 spans="1:28" ht="14.25" customHeight="1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4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 spans="1:28" ht="14.25" customHeight="1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4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 spans="1:28" ht="14.25" customHeight="1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4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 spans="1:28" ht="14.25" customHeight="1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4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 spans="1:28" ht="14.25" customHeight="1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4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 spans="1:28" ht="14.25" customHeight="1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4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 spans="1:28" ht="14.25" customHeight="1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4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 spans="1:28" ht="14.25" customHeight="1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4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 spans="1:28" ht="14.25" customHeight="1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4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 spans="1:28" ht="14.25" customHeight="1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4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 spans="1:28" ht="14.25" customHeight="1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4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 spans="1:28" ht="14.25" customHeight="1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4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 spans="1:28" ht="14.25" customHeight="1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4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 spans="1:28" ht="14.25" customHeight="1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4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 spans="1:28" ht="14.25" customHeight="1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4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 spans="1:28" ht="14.25" customHeight="1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4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 spans="1:28" ht="14.25" customHeight="1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4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 spans="1:28" ht="14.25" customHeight="1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4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 spans="1:28" ht="14.25" customHeight="1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4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 spans="1:28" ht="14.25" customHeight="1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4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 spans="1:28" ht="14.25" customHeight="1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4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 spans="1:28" ht="14.25" customHeight="1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4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 spans="1:28" ht="14.25" customHeight="1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4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 spans="1:28" ht="14.25" customHeight="1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4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 spans="1:28" ht="14.25" customHeight="1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4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 spans="1:28" ht="14.25" customHeight="1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4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 spans="1:28" ht="14.25" customHeight="1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4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 spans="1:28" ht="14.25" customHeight="1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4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 spans="1:28" ht="14.25" customHeight="1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4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 spans="1:28" ht="14.25" customHeight="1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4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 spans="1:28" ht="14.25" customHeight="1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4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 spans="1:28" ht="14.25" customHeight="1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4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 spans="1:28" ht="14.25" customHeight="1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4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 spans="1:28" ht="14.25" customHeight="1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4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 spans="1:28" ht="14.25" customHeight="1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4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 spans="1:28" ht="14.25" customHeight="1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4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 spans="1:28" ht="14.25" customHeight="1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4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 spans="1:28" ht="14.25" customHeight="1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4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 spans="1:28" ht="14.25" customHeight="1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4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 spans="1:28" ht="14.25" customHeight="1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4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 spans="1:28" ht="14.25" customHeight="1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4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 spans="1:28" ht="14.25" customHeight="1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4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 spans="1:28" ht="14.25" customHeight="1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4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 spans="1:28" ht="14.25" customHeight="1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4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 spans="1:28" ht="14.25" customHeight="1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4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 spans="1:28" ht="14.25" customHeight="1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4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 spans="1:28" ht="14.25" customHeight="1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4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 spans="1:28" ht="14.25" customHeight="1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4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 spans="1:28" ht="14.25" customHeight="1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4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 spans="1:28" ht="14.25" customHeight="1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4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 spans="1:28" ht="14.25" customHeight="1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4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 spans="1:28" ht="14.25" customHeight="1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4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 spans="1:28" ht="14.25" customHeight="1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4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 spans="1:28" ht="14.25" customHeight="1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4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 spans="1:28" ht="14.25" customHeight="1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4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 spans="1:28" ht="14.25" customHeight="1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4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 spans="1:28" ht="14.25" customHeight="1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4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 spans="1:28" ht="14.25" customHeight="1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4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 spans="1:28" ht="14.25" customHeight="1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4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 spans="1:28" ht="14.25" customHeight="1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4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 spans="1:28" ht="14.25" customHeight="1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4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 spans="1:28" ht="14.25" customHeight="1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4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 spans="1:28" ht="14.25" customHeight="1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4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 spans="1:28" ht="14.25" customHeight="1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4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 spans="1:28" ht="14.25" customHeight="1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4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 spans="1:28" ht="14.25" customHeight="1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4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 spans="1:28" ht="14.25" customHeight="1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4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 spans="1:28" ht="14.25" customHeight="1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4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 spans="1:28" ht="14.25" customHeight="1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4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 spans="1:28" ht="14.25" customHeight="1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4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 spans="1:28" ht="14.25" customHeight="1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4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 spans="1:28" ht="14.25" customHeight="1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4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 spans="1:28" ht="14.25" customHeight="1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4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 spans="1:28" ht="14.25" customHeight="1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4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 spans="1:28" ht="14.25" customHeight="1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4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 spans="1:28" ht="14.25" customHeight="1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4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 spans="1:28" ht="14.25" customHeight="1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4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 spans="1:28" ht="14.25" customHeight="1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4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 spans="1:28" ht="14.25" customHeight="1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4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 spans="1:28" ht="14.25" customHeight="1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4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 spans="1:28" ht="14.25" customHeight="1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4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 spans="1:28" ht="14.25" customHeight="1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4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 spans="1:28" ht="14.25" customHeight="1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4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 spans="1:28" ht="14.25" customHeight="1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4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 spans="1:28" ht="14.25" customHeight="1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4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 spans="1:28" ht="14.25" customHeight="1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4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 spans="1:28" ht="14.25" customHeight="1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4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 spans="1:28" ht="14.25" customHeight="1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4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 spans="1:28" ht="14.25" customHeight="1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4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 spans="1:28" ht="14.25" customHeight="1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4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 spans="1:28" ht="14.25" customHeight="1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4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 spans="1:28" ht="14.25" customHeight="1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4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 spans="1:28" ht="14.25" customHeight="1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4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 spans="1:28" ht="14.25" customHeight="1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4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 spans="1:28" ht="14.25" customHeight="1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4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 spans="1:28" ht="14.25" customHeight="1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4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 spans="1:28" ht="14.25" customHeight="1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4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 spans="1:28" ht="14.25" customHeight="1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4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 spans="1:28" ht="14.25" customHeight="1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4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 spans="1:28" ht="14.25" customHeight="1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4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 spans="1:28" ht="14.25" customHeight="1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4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 spans="1:28" ht="14.25" customHeight="1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4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 spans="1:28" ht="14.25" customHeight="1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4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 spans="1:28" ht="14.25" customHeight="1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4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 spans="1:28" ht="14.25" customHeight="1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4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 spans="1:28" ht="14.25" customHeight="1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4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 spans="1:28" ht="14.25" customHeight="1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4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 spans="1:28" ht="14.25" customHeight="1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4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 spans="1:28" ht="14.25" customHeight="1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4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 spans="1:28" ht="14.25" customHeight="1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4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 spans="1:28" ht="14.25" customHeight="1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4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 spans="1:28" ht="14.25" customHeight="1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4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 spans="1:28" ht="14.25" customHeight="1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4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 spans="1:28" ht="14.25" customHeight="1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4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 spans="1:28" ht="14.25" customHeight="1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4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 spans="1:28" ht="14.25" customHeight="1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4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 spans="1:28" ht="14.25" customHeight="1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4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 spans="1:28" ht="14.25" customHeight="1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4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 spans="1:28" ht="14.25" customHeight="1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4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 spans="1:28" ht="14.25" customHeight="1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4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 spans="1:28" ht="14.25" customHeight="1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4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 spans="1:28" ht="14.25" customHeight="1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4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 spans="1:28" ht="14.25" customHeight="1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4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 spans="1:28" ht="14.25" customHeight="1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4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 spans="1:28" ht="14.25" customHeight="1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4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 spans="1:28" ht="14.25" customHeight="1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4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 spans="1:28" ht="14.25" customHeight="1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4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 spans="1:28" ht="14.25" customHeight="1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4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 spans="1:28" ht="14.25" customHeight="1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4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 spans="1:28" ht="14.25" customHeight="1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4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 spans="1:28" ht="14.25" customHeight="1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4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 spans="1:28" ht="14.25" customHeight="1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4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 spans="1:28" ht="14.25" customHeight="1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4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 spans="1:28" ht="14.25" customHeight="1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4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 spans="1:28" ht="14.25" customHeight="1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4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 spans="1:28" ht="14.25" customHeight="1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4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 spans="1:28" ht="14.25" customHeight="1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4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 spans="1:28" ht="14.25" customHeight="1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4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 spans="1:28" ht="14.25" customHeight="1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4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 spans="1:28" ht="14.25" customHeight="1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4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 spans="1:28" ht="14.25" customHeight="1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4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 spans="1:28" ht="14.25" customHeight="1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4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 spans="1:28" ht="14.25" customHeight="1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4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 spans="1:28" ht="14.25" customHeight="1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4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 spans="1:28" ht="14.25" customHeight="1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4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 spans="1:28" ht="14.25" customHeight="1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4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 spans="1:28" ht="14.25" customHeight="1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4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 spans="1:28" ht="14.25" customHeight="1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4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 spans="1:28" ht="14.25" customHeight="1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4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 spans="1:28" ht="14.25" customHeight="1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4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 spans="1:28" ht="14.25" customHeight="1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4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 spans="1:28" ht="14.25" customHeight="1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4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 spans="1:28" ht="14.25" customHeight="1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4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 spans="1:28" ht="14.25" customHeight="1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4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 spans="1:28" ht="14.25" customHeight="1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4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 spans="1:28" ht="14.25" customHeight="1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4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 spans="1:28" ht="14.25" customHeight="1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4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 spans="1:28" ht="14.25" customHeight="1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4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 spans="1:28" ht="14.25" customHeight="1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4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 spans="1:28" ht="14.25" customHeight="1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4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 spans="1:28" ht="14.25" customHeight="1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4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 spans="1:28" ht="14.25" customHeight="1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4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 spans="1:28" ht="14.25" customHeight="1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4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 spans="1:28" ht="14.25" customHeight="1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4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 spans="1:28" ht="14.25" customHeight="1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4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 spans="1:28" ht="14.25" customHeight="1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4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 spans="1:28" ht="14.25" customHeight="1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4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 spans="1:28" ht="14.25" customHeight="1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4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 spans="1:28" ht="14.25" customHeight="1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4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 spans="1:28" ht="14.25" customHeight="1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4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 spans="1:28" ht="14.25" customHeight="1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4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 spans="1:28" ht="14.25" customHeight="1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4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 spans="1:28" ht="14.25" customHeight="1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4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 spans="1:28" ht="14.25" customHeight="1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4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 spans="1:28" ht="14.25" customHeight="1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4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 spans="1:28" ht="14.25" customHeight="1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4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 spans="1:28" ht="14.25" customHeight="1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4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 spans="1:28" ht="14.25" customHeight="1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4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 spans="1:28" ht="14.25" customHeight="1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4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 spans="1:28" ht="14.25" customHeight="1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4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 spans="1:28" ht="14.25" customHeight="1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4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 spans="1:28" ht="14.25" customHeight="1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4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 spans="1:28" ht="14.25" customHeight="1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4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 spans="1:28" ht="14.25" customHeight="1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4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 spans="1:28" ht="14.25" customHeight="1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4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 spans="1:28" ht="14.25" customHeight="1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4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 spans="1:28" ht="14.25" customHeight="1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4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 spans="1:28" ht="14.25" customHeight="1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4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 spans="1:28" ht="14.25" customHeight="1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4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 spans="1:28" ht="14.25" customHeight="1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4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 spans="1:28" ht="14.25" customHeight="1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4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 spans="1:28" ht="14.25" customHeight="1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4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 spans="1:28" ht="14.25" customHeight="1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4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 spans="1:28" ht="14.25" customHeight="1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4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 spans="1:28" ht="14.25" customHeight="1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4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 spans="1:28" ht="14.25" customHeight="1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4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 spans="1:28" ht="14.25" customHeight="1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4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 spans="1:28" ht="14.25" customHeight="1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4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 spans="1:28" ht="14.25" customHeight="1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4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 spans="1:28" ht="14.25" customHeight="1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4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 spans="1:28" ht="14.25" customHeight="1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4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 spans="1:28" ht="14.25" customHeight="1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4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 spans="1:28" ht="14.25" customHeight="1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4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 spans="1:28" ht="14.25" customHeight="1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4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 spans="1:28" ht="14.25" customHeight="1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4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 spans="1:28" ht="14.25" customHeight="1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4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 spans="1:28" ht="14.25" customHeight="1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4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 spans="1:28" ht="14.25" customHeight="1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4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 spans="1:28" ht="14.25" customHeight="1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4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 spans="1:28" ht="14.25" customHeight="1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4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 spans="1:28" ht="14.25" customHeight="1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4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 spans="1:28" ht="14.25" customHeight="1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4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 spans="1:28" ht="14.25" customHeight="1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4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 spans="1:28" ht="14.25" customHeight="1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4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 spans="1:28" ht="14.25" customHeight="1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4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 spans="1:28" ht="14.25" customHeight="1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4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 spans="1:28" ht="14.25" customHeight="1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4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 spans="1:28" ht="14.25" customHeight="1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4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 spans="1:28" ht="14.25" customHeight="1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4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 spans="1:28" ht="14.25" customHeight="1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4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 spans="1:28" ht="14.25" customHeight="1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4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 spans="1:28" ht="14.25" customHeight="1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4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 spans="1:28" ht="14.25" customHeight="1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4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 spans="1:28" ht="14.25" customHeight="1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4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 spans="1:28" ht="14.25" customHeight="1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4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 spans="1:28" ht="14.25" customHeight="1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4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 spans="1:28" ht="14.25" customHeight="1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4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 spans="1:28" ht="14.25" customHeight="1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4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 spans="1:28" ht="14.25" customHeight="1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4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 spans="1:28" ht="14.25" customHeight="1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4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 spans="1:28" ht="14.25" customHeight="1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4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 spans="1:28" ht="14.25" customHeight="1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4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 spans="1:28" ht="14.25" customHeight="1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4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 spans="1:28" ht="14.25" customHeight="1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4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 spans="1:28" ht="14.25" customHeight="1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4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 spans="1:28" ht="14.25" customHeight="1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4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 spans="1:28" ht="14.25" customHeight="1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4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 spans="1:28" ht="14.25" customHeight="1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4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 spans="1:28" ht="14.25" customHeight="1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4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 spans="1:28" ht="14.25" customHeight="1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4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 spans="1:28" ht="14.25" customHeight="1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4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 spans="1:28" ht="14.25" customHeight="1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4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 spans="1:28" ht="14.25" customHeight="1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4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 spans="1:28" ht="14.25" customHeight="1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4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 spans="1:28" ht="14.25" customHeight="1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4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 spans="1:28" ht="14.25" customHeight="1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4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 spans="1:28" ht="14.25" customHeight="1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4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 spans="1:28" ht="14.25" customHeight="1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4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 spans="1:28" ht="14.25" customHeight="1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4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 spans="1:28" ht="14.25" customHeight="1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4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 spans="1:28" ht="14.25" customHeight="1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4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 spans="1:28" ht="14.25" customHeight="1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4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 spans="1:28" ht="14.25" customHeight="1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4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 spans="1:28" ht="14.25" customHeight="1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4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 spans="1:28" ht="14.25" customHeight="1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4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 spans="1:28" ht="14.25" customHeight="1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4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 spans="1:28" ht="14.25" customHeight="1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4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 spans="1:28" ht="14.25" customHeight="1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4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 spans="1:28" ht="14.25" customHeight="1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4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 spans="1:28" ht="14.25" customHeight="1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4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 spans="1:28" ht="14.25" customHeight="1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4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 spans="1:28" ht="14.25" customHeight="1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4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 spans="1:28" ht="14.25" customHeight="1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4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 spans="1:28" ht="14.25" customHeight="1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4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 spans="1:28" ht="14.25" customHeight="1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4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 spans="1:28" ht="14.25" customHeight="1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4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 spans="1:28" ht="14.25" customHeight="1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4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 spans="1:28" ht="14.25" customHeight="1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4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 spans="1:28" ht="14.25" customHeight="1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4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 spans="1:28" ht="14.25" customHeight="1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4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 spans="1:28" ht="14.25" customHeight="1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4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 spans="1:28" ht="14.25" customHeight="1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4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 spans="1:28" ht="14.25" customHeight="1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4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 spans="1:28" ht="14.25" customHeight="1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4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 spans="1:28" ht="14.25" customHeight="1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4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 spans="1:28" ht="14.25" customHeight="1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4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 spans="1:28" ht="14.25" customHeight="1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4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 spans="1:28" ht="14.25" customHeight="1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4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 spans="1:28" ht="14.25" customHeight="1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4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 spans="1:28" ht="14.25" customHeight="1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4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 spans="1:28" ht="14.25" customHeight="1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4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 spans="1:28" ht="14.25" customHeight="1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4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 spans="1:28" ht="14.25" customHeight="1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4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 spans="1:28" ht="14.25" customHeight="1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4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 spans="1:28" ht="14.25" customHeight="1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4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 spans="1:28" ht="14.25" customHeight="1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4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 spans="1:28" ht="14.25" customHeight="1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4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 spans="1:28" ht="14.25" customHeight="1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4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 spans="1:28" ht="14.25" customHeight="1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4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 spans="1:28" ht="14.25" customHeight="1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4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 spans="1:28" ht="14.25" customHeight="1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4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 spans="1:28" ht="14.25" customHeight="1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4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 spans="1:28" ht="14.25" customHeight="1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4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 spans="1:28" ht="14.25" customHeight="1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4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 spans="1:28" ht="14.25" customHeight="1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4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 spans="1:28" ht="14.25" customHeight="1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4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 spans="1:28" ht="14.25" customHeight="1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4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 spans="1:28" ht="14.25" customHeight="1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4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 spans="1:28" ht="14.25" customHeight="1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4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 spans="1:28" ht="14.25" customHeight="1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4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 spans="1:28" ht="14.25" customHeight="1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4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 spans="1:28" ht="14.25" customHeight="1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4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 spans="1:28" ht="14.25" customHeight="1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4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 spans="1:28" ht="14.25" customHeight="1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4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 spans="1:28" ht="14.25" customHeight="1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4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 spans="1:28" ht="14.25" customHeight="1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4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 spans="1:28" ht="14.25" customHeight="1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4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 spans="1:28" ht="14.25" customHeight="1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4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 spans="1:28" ht="14.25" customHeight="1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4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 spans="1:28" ht="14.25" customHeight="1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4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 spans="1:28" ht="14.25" customHeight="1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4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 spans="1:28" ht="14.25" customHeight="1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4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 spans="1:28" ht="14.25" customHeight="1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4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 spans="1:28" ht="14.25" customHeight="1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4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 spans="1:28" ht="14.25" customHeight="1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4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 spans="1:28" ht="14.25" customHeight="1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4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 spans="1:28" ht="14.25" customHeight="1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4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 spans="1:28" ht="14.25" customHeight="1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4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 spans="1:28" ht="14.25" customHeight="1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4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 spans="1:28" ht="14.25" customHeight="1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4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 spans="1:28" ht="14.25" customHeight="1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4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 spans="1:28" ht="14.25" customHeight="1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4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 spans="1:28" ht="14.25" customHeight="1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4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 spans="1:28" ht="14.25" customHeight="1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4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 spans="1:28" ht="14.25" customHeight="1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4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 spans="1:28" ht="14.25" customHeight="1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4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 spans="1:28" ht="14.25" customHeight="1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4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 spans="1:28" ht="14.25" customHeight="1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4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 spans="1:28" ht="14.25" customHeight="1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4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 spans="1:28" ht="14.25" customHeight="1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4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 spans="1:28" ht="14.25" customHeight="1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4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 spans="1:28" ht="14.25" customHeight="1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4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 spans="1:28" ht="14.25" customHeight="1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4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 spans="1:28" ht="14.25" customHeight="1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4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 spans="1:28" ht="14.25" customHeight="1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4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 spans="1:28" ht="14.25" customHeight="1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4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 spans="1:28" ht="14.25" customHeight="1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4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 spans="1:28" ht="14.25" customHeight="1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4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 spans="1:28" ht="14.25" customHeight="1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4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 spans="1:28" ht="14.25" customHeight="1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4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 spans="1:28" ht="14.25" customHeight="1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4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 spans="1:28" ht="14.25" customHeight="1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4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 spans="1:28" ht="14.25" customHeight="1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4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 spans="1:28" ht="14.25" customHeight="1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4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 spans="1:28" ht="14.25" customHeight="1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4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 spans="1:28" ht="14.25" customHeight="1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4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 spans="1:28" ht="14.25" customHeight="1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4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 spans="1:28" ht="14.25" customHeight="1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4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 spans="1:28" ht="14.25" customHeight="1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4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 spans="1:28" ht="14.25" customHeight="1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4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 spans="1:28" ht="14.25" customHeight="1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4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 spans="1:28" ht="14.25" customHeight="1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4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 spans="1:28" ht="14.25" customHeight="1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4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 spans="1:28" ht="14.25" customHeight="1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4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 spans="1:28" ht="14.25" customHeight="1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4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 spans="1:28" ht="14.25" customHeight="1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4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 spans="1:28" ht="14.25" customHeight="1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4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 spans="1:28" ht="14.25" customHeight="1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4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 spans="1:28" ht="14.25" customHeight="1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4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 spans="1:28" ht="14.25" customHeight="1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4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 spans="1:28" ht="14.25" customHeight="1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4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 spans="1:28" ht="14.25" customHeight="1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4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 spans="1:28" ht="14.25" customHeight="1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4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 spans="1:28" ht="14.25" customHeight="1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4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 spans="1:28" ht="14.25" customHeight="1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4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 spans="1:28" ht="14.25" customHeight="1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4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 spans="1:28" ht="14.25" customHeight="1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4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 spans="1:28" ht="14.25" customHeight="1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4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 spans="1:28" ht="14.25" customHeight="1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4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 spans="1:28" ht="14.25" customHeight="1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4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 spans="1:28" ht="14.25" customHeight="1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4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 spans="1:28" ht="14.25" customHeight="1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4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 spans="1:28" ht="14.25" customHeight="1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4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 spans="1:28" ht="14.25" customHeight="1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4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 spans="1:28" ht="14.25" customHeight="1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4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 spans="1:28" ht="14.25" customHeight="1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4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 spans="1:28" ht="14.25" customHeight="1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4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 spans="1:28" ht="14.25" customHeight="1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4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 spans="1:28" ht="14.25" customHeight="1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4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 spans="1:28" ht="14.25" customHeight="1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4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 spans="1:28" ht="14.25" customHeight="1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4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 spans="1:28" ht="14.25" customHeight="1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4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 spans="1:28" ht="14.25" customHeight="1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4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 spans="1:28" ht="14.25" customHeight="1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4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 spans="1:28" ht="14.25" customHeight="1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4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 spans="1:28" ht="14.25" customHeight="1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4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 spans="1:28" ht="14.25" customHeight="1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4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 spans="1:28" ht="14.25" customHeight="1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4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 spans="1:28" ht="14.25" customHeight="1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4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 spans="1:28" ht="14.25" customHeight="1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4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 spans="1:28" ht="14.25" customHeight="1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4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 spans="1:28" ht="14.25" customHeight="1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4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 spans="1:28" ht="14.25" customHeight="1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4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 spans="1:28" ht="14.25" customHeight="1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4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 spans="1:28" ht="14.25" customHeight="1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4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 spans="1:28" ht="14.25" customHeight="1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4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 spans="1:28" ht="14.25" customHeight="1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4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 spans="1:28" ht="14.25" customHeight="1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4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 spans="1:28" ht="14.25" customHeight="1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4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 spans="1:28" ht="14.25" customHeight="1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4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 spans="1:28" ht="14.25" customHeight="1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4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 spans="1:28" ht="14.25" customHeight="1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4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 spans="1:28" ht="14.25" customHeight="1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4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 spans="1:28" ht="14.25" customHeight="1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4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 spans="1:28" ht="14.25" customHeight="1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4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 spans="1:28" ht="14.25" customHeight="1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4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 spans="1:28" ht="14.25" customHeight="1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4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 spans="1:28" ht="14.25" customHeight="1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4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 spans="1:28" ht="14.25" customHeight="1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4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 spans="1:28" ht="14.25" customHeight="1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4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 spans="1:28" ht="14.25" customHeight="1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4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 spans="1:28" ht="14.25" customHeight="1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4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 spans="1:28" ht="14.25" customHeight="1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4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 spans="1:28" ht="14.25" customHeight="1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4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 spans="1:28" ht="14.25" customHeight="1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4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 spans="1:28" ht="14.25" customHeight="1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4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 spans="1:28" ht="14.25" customHeight="1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4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 spans="1:28" ht="14.25" customHeight="1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4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 spans="1:28" ht="14.25" customHeight="1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4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 spans="1:28" ht="14.25" customHeight="1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4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 spans="1:28" ht="14.25" customHeight="1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4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 spans="1:28" ht="14.25" customHeight="1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4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 spans="1:28" ht="14.25" customHeight="1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4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 spans="1:28" ht="14.25" customHeight="1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4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 spans="1:28" ht="14.25" customHeight="1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4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 spans="1:28" ht="14.25" customHeight="1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4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 spans="1:28" ht="14.25" customHeight="1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4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 spans="1:28" ht="14.25" customHeight="1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4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 spans="1:28" ht="14.25" customHeight="1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4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 spans="1:28" ht="14.25" customHeight="1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4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 spans="1:28" ht="14.25" customHeight="1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4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 spans="1:28" ht="14.25" customHeight="1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4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 spans="1:28" ht="14.25" customHeight="1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4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 spans="1:28" ht="14.25" customHeight="1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4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 spans="1:28" ht="14.25" customHeight="1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4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 spans="1:28" ht="14.25" customHeight="1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4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 spans="1:28" ht="14.25" customHeight="1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4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 spans="1:28" ht="14.25" customHeight="1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4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 spans="1:28" ht="14.25" customHeight="1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4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 spans="1:28" ht="14.25" customHeight="1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4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 spans="1:28" ht="14.25" customHeight="1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4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 spans="1:28" ht="14.25" customHeight="1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4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 spans="1:28" ht="14.25" customHeight="1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4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 spans="1:28" ht="14.25" customHeight="1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4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 spans="1:28" ht="14.25" customHeight="1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4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 spans="1:28" ht="14.25" customHeight="1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4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 spans="1:28" ht="14.25" customHeight="1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4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 spans="1:28" ht="14.25" customHeight="1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4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 spans="1:28" ht="14.25" customHeight="1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4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 spans="1:28" ht="14.25" customHeight="1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4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 spans="1:28" ht="14.25" customHeight="1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4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 spans="1:28" ht="14.25" customHeight="1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4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 spans="1:28" ht="14.25" customHeight="1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4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 spans="1:28" ht="14.25" customHeight="1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4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 spans="1:28" ht="14.25" customHeight="1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4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 spans="1:28" ht="14.25" customHeight="1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4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 spans="1:28" ht="14.25" customHeight="1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4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 spans="1:28" ht="14.25" customHeight="1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4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 spans="1:28" ht="14.25" customHeight="1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4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 spans="1:28" ht="14.25" customHeight="1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4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 spans="1:28" ht="14.25" customHeight="1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4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 spans="1:28" ht="14.25" customHeight="1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4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 spans="1:28" ht="14.25" customHeight="1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4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 spans="1:28" ht="14.25" customHeight="1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4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 spans="1:28" ht="14.25" customHeight="1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4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 spans="1:28" ht="14.25" customHeight="1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4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 spans="1:28" ht="14.25" customHeight="1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4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 spans="1:28" ht="14.25" customHeight="1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4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 spans="1:28" ht="14.25" customHeight="1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4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 spans="1:28" ht="14.25" customHeight="1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4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 spans="1:28" ht="14.25" customHeight="1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4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 spans="1:28" ht="14.25" customHeight="1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4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 spans="1:28" ht="14.25" customHeight="1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4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 spans="1:28" ht="14.25" customHeight="1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4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 spans="1:28" ht="14.25" customHeight="1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4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 spans="1:28" ht="14.25" customHeight="1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4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 spans="1:28" ht="14.25" customHeight="1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4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 spans="1:28" ht="14.25" customHeight="1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4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 spans="1:28" ht="14.25" customHeight="1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4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 spans="1:28" ht="14.25" customHeight="1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4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 spans="1:28" ht="14.25" customHeight="1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4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 spans="1:28" ht="14.25" customHeight="1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4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 spans="1:28" ht="14.25" customHeight="1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4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 spans="1:28" ht="14.25" customHeight="1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4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 spans="1:28" ht="14.25" customHeight="1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4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 spans="1:28" ht="14.25" customHeight="1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4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 spans="1:28" ht="14.25" customHeight="1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4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 spans="1:28" ht="14.25" customHeight="1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4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 spans="1:28" ht="14.25" customHeight="1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4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 spans="1:28" ht="14.25" customHeight="1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4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 spans="1:28" ht="14.25" customHeight="1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4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 spans="1:28" ht="14.25" customHeight="1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4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 spans="1:28" ht="14.25" customHeight="1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4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 spans="1:28" ht="14.25" customHeight="1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4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 spans="1:28" ht="14.25" customHeight="1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4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 spans="1:28" ht="14.25" customHeight="1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4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 spans="1:28" ht="14.25" customHeight="1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4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 spans="1:28" ht="14.25" customHeight="1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4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 spans="1:28" ht="14.25" customHeight="1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4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 spans="1:28" ht="14.25" customHeight="1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4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 spans="1:28" ht="14.25" customHeight="1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4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 spans="1:28" ht="14.25" customHeight="1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4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 spans="1:28" ht="14.25" customHeight="1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4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 spans="1:28" ht="14.25" customHeight="1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4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 spans="1:28" ht="14.25" customHeight="1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4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 spans="1:28" ht="14.25" customHeight="1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4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 spans="1:28" ht="14.25" customHeight="1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4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 spans="1:28" ht="14.25" customHeight="1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4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 spans="1:28" ht="14.25" customHeight="1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4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 spans="1:28" ht="14.25" customHeight="1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4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 spans="1:28" ht="14.25" customHeight="1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4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 spans="1:28" ht="14.25" customHeight="1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4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 spans="1:28" ht="14.25" customHeight="1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4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 spans="1:28" ht="14.25" customHeight="1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4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 spans="1:28" ht="14.25" customHeight="1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4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 spans="1:28" ht="14.25" customHeight="1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4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 spans="1:28" ht="14.25" customHeight="1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4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 spans="1:28" ht="14.25" customHeight="1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4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 spans="1:28" ht="14.25" customHeight="1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4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 spans="1:28" ht="14.25" customHeight="1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4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 spans="1:28" ht="14.25" customHeight="1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4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 spans="1:28" ht="14.25" customHeight="1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4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 spans="1:28" ht="14.25" customHeight="1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4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 spans="1:28" ht="14.25" customHeight="1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4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 spans="1:28" ht="14.25" customHeight="1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4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 spans="1:28" ht="14.25" customHeight="1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4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 spans="1:28" ht="14.25" customHeight="1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4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 spans="1:28" ht="14.25" customHeight="1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4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 spans="1:28" ht="14.25" customHeight="1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4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 spans="1:28" ht="14.25" customHeight="1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4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 spans="1:28" ht="14.25" customHeight="1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4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 spans="1:28" ht="14.25" customHeight="1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4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 spans="1:28" ht="14.25" customHeight="1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4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 spans="1:28" ht="14.25" customHeight="1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4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 spans="1:28" ht="14.25" customHeight="1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4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 spans="1:28" ht="14.25" customHeight="1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4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 spans="1:28" ht="14.25" customHeight="1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4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 spans="1:28" ht="14.25" customHeight="1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4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 spans="1:28" ht="14.25" customHeight="1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4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 spans="1:28" ht="14.25" customHeight="1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4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 spans="1:28" ht="14.25" customHeight="1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4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 spans="1:28" ht="14.25" customHeight="1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4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 spans="1:28" ht="14.25" customHeight="1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4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 spans="1:28" ht="14.25" customHeight="1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4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 spans="1:28" ht="14.25" customHeight="1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4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 spans="1:28" ht="14.25" customHeight="1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4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 spans="1:28" ht="14.25" customHeight="1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4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 spans="1:28" ht="14.25" customHeight="1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4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 spans="1:28" ht="14.25" customHeight="1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4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 spans="1:28" ht="14.25" customHeight="1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4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 spans="1:28" ht="14.25" customHeight="1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4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 spans="1:28" ht="14.25" customHeight="1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4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 spans="1:28" ht="14.25" customHeight="1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4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 spans="1:28" ht="14.25" customHeight="1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4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 spans="1:28" ht="14.25" customHeight="1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4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 spans="1:28" ht="14.25" customHeight="1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4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 spans="1:28" ht="14.25" customHeight="1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4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 spans="1:28" ht="14.25" customHeight="1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4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 spans="1:28" ht="14.25" customHeight="1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4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 spans="1:28" ht="14.25" customHeight="1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4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 spans="1:28" ht="14.25" customHeight="1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4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 spans="1:28" ht="14.25" customHeight="1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4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 spans="1:28" ht="14.25" customHeight="1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4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 spans="1:28" ht="14.25" customHeight="1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4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 spans="1:28" ht="14.25" customHeight="1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4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 spans="1:28" ht="14.25" customHeight="1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4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 spans="1:28" ht="14.25" customHeight="1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4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 spans="1:28" ht="14.25" customHeight="1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4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 spans="1:28" ht="14.25" customHeight="1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4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 spans="1:28" ht="14.25" customHeight="1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4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 spans="1:28" ht="14.25" customHeight="1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4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 spans="1:28" ht="14.25" customHeight="1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4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 spans="1:28" ht="14.25" customHeight="1" x14ac:dyDescent="0.2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4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  <row r="1001" spans="1:28" ht="14.25" customHeight="1" x14ac:dyDescent="0.25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4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</row>
  </sheetData>
  <mergeCells count="19">
    <mergeCell ref="F1:N1"/>
    <mergeCell ref="L2:N2"/>
    <mergeCell ref="A44:A45"/>
    <mergeCell ref="A46:A53"/>
    <mergeCell ref="A54:A65"/>
    <mergeCell ref="A66:A89"/>
    <mergeCell ref="F2:H2"/>
    <mergeCell ref="I2:K2"/>
    <mergeCell ref="A2:A3"/>
    <mergeCell ref="B2:B3"/>
    <mergeCell ref="C2:C3"/>
    <mergeCell ref="D2:D3"/>
    <mergeCell ref="A4:A17"/>
    <mergeCell ref="A18:A20"/>
    <mergeCell ref="A21:A25"/>
    <mergeCell ref="A26:A33"/>
    <mergeCell ref="A34:A39"/>
    <mergeCell ref="A40:A43"/>
    <mergeCell ref="E2:E3"/>
  </mergeCells>
  <pageMargins left="0.25" right="0.25" top="0.75" bottom="0.75" header="0.3" footer="0.3"/>
  <pageSetup paperSize="9" scale="54" fitToHeight="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52"/>
  <sheetViews>
    <sheetView workbookViewId="0">
      <selection activeCell="D17" sqref="D17"/>
    </sheetView>
  </sheetViews>
  <sheetFormatPr defaultRowHeight="15" x14ac:dyDescent="0.25"/>
  <cols>
    <col min="1" max="1" width="6.85546875" customWidth="1"/>
    <col min="2" max="2" width="17.5703125" bestFit="1" customWidth="1"/>
    <col min="3" max="3" width="11.140625" customWidth="1"/>
    <col min="4" max="4" width="56.85546875" customWidth="1"/>
    <col min="5" max="5" width="6.7109375" customWidth="1"/>
    <col min="6" max="6" width="9.85546875" customWidth="1"/>
    <col min="7" max="7" width="10.140625" bestFit="1" customWidth="1"/>
    <col min="8" max="8" width="9.42578125" bestFit="1" customWidth="1"/>
    <col min="9" max="9" width="9.28515625" customWidth="1"/>
    <col min="10" max="10" width="9.140625" bestFit="1" customWidth="1"/>
    <col min="11" max="11" width="8.42578125" bestFit="1" customWidth="1"/>
    <col min="12" max="12" width="8.140625" customWidth="1"/>
    <col min="13" max="13" width="8.140625" bestFit="1" customWidth="1"/>
    <col min="14" max="14" width="8.42578125" bestFit="1" customWidth="1"/>
  </cols>
  <sheetData>
    <row r="1" spans="1:28" ht="45" customHeight="1" thickBot="1" x14ac:dyDescent="0.3">
      <c r="A1" s="1"/>
      <c r="B1" s="144" t="s">
        <v>265</v>
      </c>
      <c r="C1" s="145"/>
      <c r="D1" s="145"/>
      <c r="E1" s="145"/>
      <c r="F1" s="142" t="s">
        <v>2</v>
      </c>
      <c r="G1" s="143"/>
      <c r="H1" s="143"/>
      <c r="I1" s="143"/>
      <c r="J1" s="143"/>
      <c r="K1" s="143"/>
      <c r="L1" s="143"/>
      <c r="M1" s="143"/>
      <c r="N1" s="143"/>
    </row>
    <row r="2" spans="1:28" s="26" customFormat="1" x14ac:dyDescent="0.25">
      <c r="A2" s="125" t="s">
        <v>3</v>
      </c>
      <c r="B2" s="126" t="s">
        <v>4</v>
      </c>
      <c r="C2" s="132" t="s">
        <v>5</v>
      </c>
      <c r="D2" s="126" t="s">
        <v>6</v>
      </c>
      <c r="E2" s="137" t="s">
        <v>7</v>
      </c>
      <c r="F2" s="125" t="s">
        <v>8</v>
      </c>
      <c r="G2" s="126"/>
      <c r="H2" s="127"/>
      <c r="I2" s="128" t="s">
        <v>9</v>
      </c>
      <c r="J2" s="126"/>
      <c r="K2" s="129"/>
      <c r="L2" s="125" t="s">
        <v>10</v>
      </c>
      <c r="M2" s="126"/>
      <c r="N2" s="127"/>
      <c r="O2" s="24"/>
      <c r="P2" s="25"/>
      <c r="Q2" s="25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</row>
    <row r="3" spans="1:28" s="26" customFormat="1" ht="15.75" thickBot="1" x14ac:dyDescent="0.3">
      <c r="A3" s="130"/>
      <c r="B3" s="131"/>
      <c r="C3" s="133"/>
      <c r="D3" s="131"/>
      <c r="E3" s="138"/>
      <c r="F3" s="62" t="s">
        <v>412</v>
      </c>
      <c r="G3" s="60" t="s">
        <v>413</v>
      </c>
      <c r="H3" s="61" t="s">
        <v>414</v>
      </c>
      <c r="I3" s="62" t="s">
        <v>415</v>
      </c>
      <c r="J3" s="60" t="s">
        <v>416</v>
      </c>
      <c r="K3" s="61" t="s">
        <v>417</v>
      </c>
      <c r="L3" s="62" t="s">
        <v>418</v>
      </c>
      <c r="M3" s="60" t="s">
        <v>419</v>
      </c>
      <c r="N3" s="61" t="s">
        <v>420</v>
      </c>
      <c r="O3" s="24"/>
      <c r="P3" s="25"/>
      <c r="Q3" s="25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</row>
    <row r="4" spans="1:28" s="36" customFormat="1" ht="12" x14ac:dyDescent="0.2">
      <c r="A4" s="146" t="s">
        <v>266</v>
      </c>
      <c r="B4" s="7" t="s">
        <v>267</v>
      </c>
      <c r="C4" s="8" t="s">
        <v>268</v>
      </c>
      <c r="D4" s="9" t="s">
        <v>269</v>
      </c>
      <c r="E4" s="10">
        <v>12</v>
      </c>
      <c r="F4" s="94">
        <v>4.3899999999999997</v>
      </c>
      <c r="G4" s="44">
        <f t="shared" ref="G4:N4" si="0">F4*1.04</f>
        <v>4.5655999999999999</v>
      </c>
      <c r="H4" s="44">
        <f t="shared" si="0"/>
        <v>4.7482240000000004</v>
      </c>
      <c r="I4" s="44">
        <f t="shared" si="0"/>
        <v>4.9381529600000009</v>
      </c>
      <c r="J4" s="44">
        <f t="shared" si="0"/>
        <v>5.1356790784000008</v>
      </c>
      <c r="K4" s="44">
        <f t="shared" si="0"/>
        <v>5.3411062415360009</v>
      </c>
      <c r="L4" s="44">
        <f t="shared" si="0"/>
        <v>5.5547504911974412</v>
      </c>
      <c r="M4" s="44">
        <f t="shared" si="0"/>
        <v>5.7769405108453391</v>
      </c>
      <c r="N4" s="45">
        <f t="shared" si="0"/>
        <v>6.0080181312791527</v>
      </c>
    </row>
    <row r="5" spans="1:28" s="36" customFormat="1" ht="12" x14ac:dyDescent="0.2">
      <c r="A5" s="147"/>
      <c r="B5" s="15" t="s">
        <v>270</v>
      </c>
      <c r="C5" s="16" t="s">
        <v>271</v>
      </c>
      <c r="D5" s="17" t="s">
        <v>272</v>
      </c>
      <c r="E5" s="18">
        <v>12</v>
      </c>
      <c r="F5" s="95">
        <v>4.3899999999999997</v>
      </c>
      <c r="G5" s="31">
        <f t="shared" ref="G5:N5" si="1">F5*1.04</f>
        <v>4.5655999999999999</v>
      </c>
      <c r="H5" s="31">
        <f t="shared" si="1"/>
        <v>4.7482240000000004</v>
      </c>
      <c r="I5" s="31">
        <f t="shared" si="1"/>
        <v>4.9381529600000009</v>
      </c>
      <c r="J5" s="31">
        <f t="shared" si="1"/>
        <v>5.1356790784000008</v>
      </c>
      <c r="K5" s="31">
        <f t="shared" si="1"/>
        <v>5.3411062415360009</v>
      </c>
      <c r="L5" s="31">
        <f t="shared" si="1"/>
        <v>5.5547504911974412</v>
      </c>
      <c r="M5" s="31">
        <f t="shared" si="1"/>
        <v>5.7769405108453391</v>
      </c>
      <c r="N5" s="46">
        <f t="shared" si="1"/>
        <v>6.0080181312791527</v>
      </c>
    </row>
    <row r="6" spans="1:28" s="36" customFormat="1" ht="12" x14ac:dyDescent="0.2">
      <c r="A6" s="147"/>
      <c r="B6" s="15" t="s">
        <v>273</v>
      </c>
      <c r="C6" s="16" t="s">
        <v>274</v>
      </c>
      <c r="D6" s="17" t="s">
        <v>275</v>
      </c>
      <c r="E6" s="18">
        <v>12</v>
      </c>
      <c r="F6" s="95">
        <v>4.3899999999999997</v>
      </c>
      <c r="G6" s="31">
        <f t="shared" ref="G6:N6" si="2">F6*1.04</f>
        <v>4.5655999999999999</v>
      </c>
      <c r="H6" s="31">
        <f t="shared" si="2"/>
        <v>4.7482240000000004</v>
      </c>
      <c r="I6" s="31">
        <f t="shared" si="2"/>
        <v>4.9381529600000009</v>
      </c>
      <c r="J6" s="31">
        <f t="shared" si="2"/>
        <v>5.1356790784000008</v>
      </c>
      <c r="K6" s="31">
        <f t="shared" si="2"/>
        <v>5.3411062415360009</v>
      </c>
      <c r="L6" s="31">
        <f t="shared" si="2"/>
        <v>5.5547504911974412</v>
      </c>
      <c r="M6" s="31">
        <f t="shared" si="2"/>
        <v>5.7769405108453391</v>
      </c>
      <c r="N6" s="46">
        <f t="shared" si="2"/>
        <v>6.0080181312791527</v>
      </c>
    </row>
    <row r="7" spans="1:28" s="36" customFormat="1" ht="12" x14ac:dyDescent="0.2">
      <c r="A7" s="147"/>
      <c r="B7" s="15" t="s">
        <v>276</v>
      </c>
      <c r="C7" s="16" t="s">
        <v>277</v>
      </c>
      <c r="D7" s="17" t="s">
        <v>278</v>
      </c>
      <c r="E7" s="18">
        <v>12</v>
      </c>
      <c r="F7" s="95">
        <v>4.3899999999999997</v>
      </c>
      <c r="G7" s="31">
        <f t="shared" ref="G7:N7" si="3">F7*1.04</f>
        <v>4.5655999999999999</v>
      </c>
      <c r="H7" s="31">
        <f t="shared" si="3"/>
        <v>4.7482240000000004</v>
      </c>
      <c r="I7" s="31">
        <f t="shared" si="3"/>
        <v>4.9381529600000009</v>
      </c>
      <c r="J7" s="31">
        <f t="shared" si="3"/>
        <v>5.1356790784000008</v>
      </c>
      <c r="K7" s="31">
        <f t="shared" si="3"/>
        <v>5.3411062415360009</v>
      </c>
      <c r="L7" s="31">
        <f t="shared" si="3"/>
        <v>5.5547504911974412</v>
      </c>
      <c r="M7" s="31">
        <f t="shared" si="3"/>
        <v>5.7769405108453391</v>
      </c>
      <c r="N7" s="46">
        <f t="shared" si="3"/>
        <v>6.0080181312791527</v>
      </c>
    </row>
    <row r="8" spans="1:28" s="36" customFormat="1" ht="12" x14ac:dyDescent="0.2">
      <c r="A8" s="147"/>
      <c r="B8" s="15" t="s">
        <v>279</v>
      </c>
      <c r="C8" s="16" t="s">
        <v>280</v>
      </c>
      <c r="D8" s="17" t="s">
        <v>281</v>
      </c>
      <c r="E8" s="18">
        <v>12</v>
      </c>
      <c r="F8" s="95">
        <v>4.3899999999999997</v>
      </c>
      <c r="G8" s="31">
        <f t="shared" ref="G8:N8" si="4">F8*1.04</f>
        <v>4.5655999999999999</v>
      </c>
      <c r="H8" s="31">
        <f t="shared" si="4"/>
        <v>4.7482240000000004</v>
      </c>
      <c r="I8" s="31">
        <f t="shared" si="4"/>
        <v>4.9381529600000009</v>
      </c>
      <c r="J8" s="31">
        <f t="shared" si="4"/>
        <v>5.1356790784000008</v>
      </c>
      <c r="K8" s="31">
        <f t="shared" si="4"/>
        <v>5.3411062415360009</v>
      </c>
      <c r="L8" s="31">
        <f t="shared" si="4"/>
        <v>5.5547504911974412</v>
      </c>
      <c r="M8" s="31">
        <f t="shared" si="4"/>
        <v>5.7769405108453391</v>
      </c>
      <c r="N8" s="46">
        <f t="shared" si="4"/>
        <v>6.0080181312791527</v>
      </c>
    </row>
    <row r="9" spans="1:28" s="36" customFormat="1" ht="12" x14ac:dyDescent="0.2">
      <c r="A9" s="147"/>
      <c r="B9" s="15" t="s">
        <v>282</v>
      </c>
      <c r="C9" s="16" t="s">
        <v>283</v>
      </c>
      <c r="D9" s="17" t="s">
        <v>284</v>
      </c>
      <c r="E9" s="18">
        <v>12</v>
      </c>
      <c r="F9" s="95">
        <v>4.3899999999999997</v>
      </c>
      <c r="G9" s="31">
        <f t="shared" ref="G9:N9" si="5">F9*1.04</f>
        <v>4.5655999999999999</v>
      </c>
      <c r="H9" s="31">
        <f t="shared" si="5"/>
        <v>4.7482240000000004</v>
      </c>
      <c r="I9" s="31">
        <f t="shared" si="5"/>
        <v>4.9381529600000009</v>
      </c>
      <c r="J9" s="31">
        <f t="shared" si="5"/>
        <v>5.1356790784000008</v>
      </c>
      <c r="K9" s="31">
        <f t="shared" si="5"/>
        <v>5.3411062415360009</v>
      </c>
      <c r="L9" s="31">
        <f t="shared" si="5"/>
        <v>5.5547504911974412</v>
      </c>
      <c r="M9" s="31">
        <f t="shared" si="5"/>
        <v>5.7769405108453391</v>
      </c>
      <c r="N9" s="46">
        <f t="shared" si="5"/>
        <v>6.0080181312791527</v>
      </c>
    </row>
    <row r="10" spans="1:28" s="36" customFormat="1" ht="12" x14ac:dyDescent="0.2">
      <c r="A10" s="147"/>
      <c r="B10" s="15" t="s">
        <v>285</v>
      </c>
      <c r="C10" s="16" t="s">
        <v>286</v>
      </c>
      <c r="D10" s="17" t="s">
        <v>287</v>
      </c>
      <c r="E10" s="18">
        <v>12</v>
      </c>
      <c r="F10" s="95">
        <v>4.3899999999999997</v>
      </c>
      <c r="G10" s="31">
        <f t="shared" ref="G10:N10" si="6">F10*1.04</f>
        <v>4.5655999999999999</v>
      </c>
      <c r="H10" s="31">
        <f t="shared" si="6"/>
        <v>4.7482240000000004</v>
      </c>
      <c r="I10" s="31">
        <f t="shared" si="6"/>
        <v>4.9381529600000009</v>
      </c>
      <c r="J10" s="31">
        <f t="shared" si="6"/>
        <v>5.1356790784000008</v>
      </c>
      <c r="K10" s="31">
        <f t="shared" si="6"/>
        <v>5.3411062415360009</v>
      </c>
      <c r="L10" s="31">
        <f t="shared" si="6"/>
        <v>5.5547504911974412</v>
      </c>
      <c r="M10" s="31">
        <f t="shared" si="6"/>
        <v>5.7769405108453391</v>
      </c>
      <c r="N10" s="46">
        <f t="shared" si="6"/>
        <v>6.0080181312791527</v>
      </c>
    </row>
    <row r="11" spans="1:28" s="36" customFormat="1" ht="12" x14ac:dyDescent="0.2">
      <c r="A11" s="147"/>
      <c r="B11" s="15" t="s">
        <v>288</v>
      </c>
      <c r="C11" s="16" t="s">
        <v>289</v>
      </c>
      <c r="D11" s="17" t="s">
        <v>290</v>
      </c>
      <c r="E11" s="18">
        <v>12</v>
      </c>
      <c r="F11" s="95">
        <v>4.3899999999999997</v>
      </c>
      <c r="G11" s="31">
        <f t="shared" ref="G11:N11" si="7">F11*1.04</f>
        <v>4.5655999999999999</v>
      </c>
      <c r="H11" s="31">
        <f t="shared" si="7"/>
        <v>4.7482240000000004</v>
      </c>
      <c r="I11" s="31">
        <f t="shared" si="7"/>
        <v>4.9381529600000009</v>
      </c>
      <c r="J11" s="31">
        <f t="shared" si="7"/>
        <v>5.1356790784000008</v>
      </c>
      <c r="K11" s="31">
        <f t="shared" si="7"/>
        <v>5.3411062415360009</v>
      </c>
      <c r="L11" s="31">
        <f t="shared" si="7"/>
        <v>5.5547504911974412</v>
      </c>
      <c r="M11" s="31">
        <f t="shared" si="7"/>
        <v>5.7769405108453391</v>
      </c>
      <c r="N11" s="46">
        <f t="shared" si="7"/>
        <v>6.0080181312791527</v>
      </c>
    </row>
    <row r="12" spans="1:28" s="36" customFormat="1" ht="12" x14ac:dyDescent="0.2">
      <c r="A12" s="147"/>
      <c r="B12" s="15" t="s">
        <v>291</v>
      </c>
      <c r="C12" s="16" t="s">
        <v>292</v>
      </c>
      <c r="D12" s="17" t="s">
        <v>293</v>
      </c>
      <c r="E12" s="18">
        <v>12</v>
      </c>
      <c r="F12" s="95">
        <v>4.3899999999999997</v>
      </c>
      <c r="G12" s="31">
        <f t="shared" ref="G12:N12" si="8">F12*1.04</f>
        <v>4.5655999999999999</v>
      </c>
      <c r="H12" s="31">
        <f t="shared" si="8"/>
        <v>4.7482240000000004</v>
      </c>
      <c r="I12" s="31">
        <f t="shared" si="8"/>
        <v>4.9381529600000009</v>
      </c>
      <c r="J12" s="31">
        <f t="shared" si="8"/>
        <v>5.1356790784000008</v>
      </c>
      <c r="K12" s="31">
        <f t="shared" si="8"/>
        <v>5.3411062415360009</v>
      </c>
      <c r="L12" s="31">
        <f t="shared" si="8"/>
        <v>5.5547504911974412</v>
      </c>
      <c r="M12" s="31">
        <f t="shared" si="8"/>
        <v>5.7769405108453391</v>
      </c>
      <c r="N12" s="46">
        <f t="shared" si="8"/>
        <v>6.0080181312791527</v>
      </c>
    </row>
    <row r="13" spans="1:28" s="36" customFormat="1" ht="12" x14ac:dyDescent="0.2">
      <c r="A13" s="147"/>
      <c r="B13" s="15" t="s">
        <v>294</v>
      </c>
      <c r="C13" s="16" t="s">
        <v>295</v>
      </c>
      <c r="D13" s="17" t="s">
        <v>296</v>
      </c>
      <c r="E13" s="18">
        <v>12</v>
      </c>
      <c r="F13" s="95">
        <v>4.3899999999999997</v>
      </c>
      <c r="G13" s="31">
        <f t="shared" ref="G13:N13" si="9">F13*1.04</f>
        <v>4.5655999999999999</v>
      </c>
      <c r="H13" s="31">
        <f t="shared" si="9"/>
        <v>4.7482240000000004</v>
      </c>
      <c r="I13" s="31">
        <f t="shared" si="9"/>
        <v>4.9381529600000009</v>
      </c>
      <c r="J13" s="31">
        <f t="shared" si="9"/>
        <v>5.1356790784000008</v>
      </c>
      <c r="K13" s="31">
        <f t="shared" si="9"/>
        <v>5.3411062415360009</v>
      </c>
      <c r="L13" s="31">
        <f t="shared" si="9"/>
        <v>5.5547504911974412</v>
      </c>
      <c r="M13" s="31">
        <f t="shared" si="9"/>
        <v>5.7769405108453391</v>
      </c>
      <c r="N13" s="46">
        <f t="shared" si="9"/>
        <v>6.0080181312791527</v>
      </c>
    </row>
    <row r="14" spans="1:28" s="36" customFormat="1" ht="12" x14ac:dyDescent="0.2">
      <c r="A14" s="147"/>
      <c r="B14" s="15" t="s">
        <v>297</v>
      </c>
      <c r="C14" s="16" t="s">
        <v>298</v>
      </c>
      <c r="D14" s="17" t="s">
        <v>299</v>
      </c>
      <c r="E14" s="18">
        <v>36</v>
      </c>
      <c r="F14" s="95">
        <v>1.61</v>
      </c>
      <c r="G14" s="31">
        <f t="shared" ref="G14:N14" si="10">F14*1.04</f>
        <v>1.6744000000000001</v>
      </c>
      <c r="H14" s="31">
        <f t="shared" si="10"/>
        <v>1.7413760000000003</v>
      </c>
      <c r="I14" s="31">
        <f t="shared" si="10"/>
        <v>1.8110310400000003</v>
      </c>
      <c r="J14" s="31">
        <f t="shared" si="10"/>
        <v>1.8834722816000002</v>
      </c>
      <c r="K14" s="31">
        <f t="shared" si="10"/>
        <v>1.9588111728640003</v>
      </c>
      <c r="L14" s="31">
        <f t="shared" si="10"/>
        <v>2.0371636197785605</v>
      </c>
      <c r="M14" s="31">
        <f t="shared" si="10"/>
        <v>2.1186501645697029</v>
      </c>
      <c r="N14" s="46">
        <f t="shared" si="10"/>
        <v>2.203396171152491</v>
      </c>
    </row>
    <row r="15" spans="1:28" s="36" customFormat="1" ht="12" x14ac:dyDescent="0.2">
      <c r="A15" s="147"/>
      <c r="B15" s="15" t="s">
        <v>300</v>
      </c>
      <c r="C15" s="16" t="s">
        <v>301</v>
      </c>
      <c r="D15" s="17" t="s">
        <v>302</v>
      </c>
      <c r="E15" s="18">
        <v>36</v>
      </c>
      <c r="F15" s="95">
        <v>2.52</v>
      </c>
      <c r="G15" s="31">
        <f t="shared" ref="G15:N15" si="11">F15*1.04</f>
        <v>2.6208</v>
      </c>
      <c r="H15" s="31">
        <f t="shared" si="11"/>
        <v>2.7256320000000001</v>
      </c>
      <c r="I15" s="31">
        <f t="shared" si="11"/>
        <v>2.8346572800000001</v>
      </c>
      <c r="J15" s="31">
        <f t="shared" si="11"/>
        <v>2.9480435712000004</v>
      </c>
      <c r="K15" s="31">
        <f t="shared" si="11"/>
        <v>3.0659653140480003</v>
      </c>
      <c r="L15" s="31">
        <f t="shared" si="11"/>
        <v>3.1886039266099204</v>
      </c>
      <c r="M15" s="31">
        <f t="shared" si="11"/>
        <v>3.3161480836743173</v>
      </c>
      <c r="N15" s="46">
        <f t="shared" si="11"/>
        <v>3.4487940070212901</v>
      </c>
    </row>
    <row r="16" spans="1:28" s="36" customFormat="1" ht="12" x14ac:dyDescent="0.2">
      <c r="A16" s="147"/>
      <c r="B16" s="15" t="s">
        <v>303</v>
      </c>
      <c r="C16" s="16" t="s">
        <v>304</v>
      </c>
      <c r="D16" s="17" t="s">
        <v>305</v>
      </c>
      <c r="E16" s="18">
        <v>36</v>
      </c>
      <c r="F16" s="95">
        <v>2.52</v>
      </c>
      <c r="G16" s="31">
        <f t="shared" ref="G16:N16" si="12">F16*1.04</f>
        <v>2.6208</v>
      </c>
      <c r="H16" s="31">
        <f t="shared" si="12"/>
        <v>2.7256320000000001</v>
      </c>
      <c r="I16" s="31">
        <f t="shared" si="12"/>
        <v>2.8346572800000001</v>
      </c>
      <c r="J16" s="31">
        <f t="shared" si="12"/>
        <v>2.9480435712000004</v>
      </c>
      <c r="K16" s="31">
        <f t="shared" si="12"/>
        <v>3.0659653140480003</v>
      </c>
      <c r="L16" s="31">
        <f t="shared" si="12"/>
        <v>3.1886039266099204</v>
      </c>
      <c r="M16" s="31">
        <f t="shared" si="12"/>
        <v>3.3161480836743173</v>
      </c>
      <c r="N16" s="46">
        <f t="shared" si="12"/>
        <v>3.4487940070212901</v>
      </c>
    </row>
    <row r="17" spans="1:14" s="36" customFormat="1" ht="12" x14ac:dyDescent="0.2">
      <c r="A17" s="147"/>
      <c r="B17" s="15" t="s">
        <v>306</v>
      </c>
      <c r="C17" s="16" t="s">
        <v>307</v>
      </c>
      <c r="D17" s="17" t="s">
        <v>308</v>
      </c>
      <c r="E17" s="18">
        <v>36</v>
      </c>
      <c r="F17" s="95">
        <v>2.52</v>
      </c>
      <c r="G17" s="31">
        <f t="shared" ref="G17:N17" si="13">F17*1.04</f>
        <v>2.6208</v>
      </c>
      <c r="H17" s="31">
        <f t="shared" si="13"/>
        <v>2.7256320000000001</v>
      </c>
      <c r="I17" s="31">
        <f t="shared" si="13"/>
        <v>2.8346572800000001</v>
      </c>
      <c r="J17" s="31">
        <f t="shared" si="13"/>
        <v>2.9480435712000004</v>
      </c>
      <c r="K17" s="31">
        <f t="shared" si="13"/>
        <v>3.0659653140480003</v>
      </c>
      <c r="L17" s="31">
        <f t="shared" si="13"/>
        <v>3.1886039266099204</v>
      </c>
      <c r="M17" s="31">
        <f t="shared" si="13"/>
        <v>3.3161480836743173</v>
      </c>
      <c r="N17" s="46">
        <f t="shared" si="13"/>
        <v>3.4487940070212901</v>
      </c>
    </row>
    <row r="18" spans="1:14" s="36" customFormat="1" ht="12" x14ac:dyDescent="0.2">
      <c r="A18" s="147"/>
      <c r="B18" s="15" t="s">
        <v>309</v>
      </c>
      <c r="C18" s="16" t="s">
        <v>310</v>
      </c>
      <c r="D18" s="17" t="s">
        <v>311</v>
      </c>
      <c r="E18" s="18">
        <v>36</v>
      </c>
      <c r="F18" s="95">
        <v>2.52</v>
      </c>
      <c r="G18" s="31">
        <f t="shared" ref="G18:N18" si="14">F18*1.04</f>
        <v>2.6208</v>
      </c>
      <c r="H18" s="31">
        <f t="shared" si="14"/>
        <v>2.7256320000000001</v>
      </c>
      <c r="I18" s="31">
        <f t="shared" si="14"/>
        <v>2.8346572800000001</v>
      </c>
      <c r="J18" s="31">
        <f t="shared" si="14"/>
        <v>2.9480435712000004</v>
      </c>
      <c r="K18" s="31">
        <f t="shared" si="14"/>
        <v>3.0659653140480003</v>
      </c>
      <c r="L18" s="31">
        <f t="shared" si="14"/>
        <v>3.1886039266099204</v>
      </c>
      <c r="M18" s="31">
        <f t="shared" si="14"/>
        <v>3.3161480836743173</v>
      </c>
      <c r="N18" s="46">
        <f t="shared" si="14"/>
        <v>3.4487940070212901</v>
      </c>
    </row>
    <row r="19" spans="1:14" s="36" customFormat="1" ht="12" x14ac:dyDescent="0.2">
      <c r="A19" s="147"/>
      <c r="B19" s="15" t="s">
        <v>312</v>
      </c>
      <c r="C19" s="16" t="s">
        <v>313</v>
      </c>
      <c r="D19" s="17" t="s">
        <v>314</v>
      </c>
      <c r="E19" s="18">
        <v>36</v>
      </c>
      <c r="F19" s="95">
        <v>2.52</v>
      </c>
      <c r="G19" s="31">
        <f t="shared" ref="G19:N19" si="15">F19*1.04</f>
        <v>2.6208</v>
      </c>
      <c r="H19" s="31">
        <f t="shared" si="15"/>
        <v>2.7256320000000001</v>
      </c>
      <c r="I19" s="31">
        <f t="shared" si="15"/>
        <v>2.8346572800000001</v>
      </c>
      <c r="J19" s="31">
        <f t="shared" si="15"/>
        <v>2.9480435712000004</v>
      </c>
      <c r="K19" s="31">
        <f t="shared" si="15"/>
        <v>3.0659653140480003</v>
      </c>
      <c r="L19" s="31">
        <f t="shared" si="15"/>
        <v>3.1886039266099204</v>
      </c>
      <c r="M19" s="31">
        <f t="shared" si="15"/>
        <v>3.3161480836743173</v>
      </c>
      <c r="N19" s="46">
        <f t="shared" si="15"/>
        <v>3.4487940070212901</v>
      </c>
    </row>
    <row r="20" spans="1:14" s="36" customFormat="1" ht="12" x14ac:dyDescent="0.2">
      <c r="A20" s="147"/>
      <c r="B20" s="15" t="s">
        <v>315</v>
      </c>
      <c r="C20" s="16" t="s">
        <v>316</v>
      </c>
      <c r="D20" s="17" t="s">
        <v>317</v>
      </c>
      <c r="E20" s="18">
        <v>36</v>
      </c>
      <c r="F20" s="95">
        <v>2.52</v>
      </c>
      <c r="G20" s="31">
        <f t="shared" ref="G20:N20" si="16">F20*1.04</f>
        <v>2.6208</v>
      </c>
      <c r="H20" s="31">
        <f t="shared" si="16"/>
        <v>2.7256320000000001</v>
      </c>
      <c r="I20" s="31">
        <f t="shared" si="16"/>
        <v>2.8346572800000001</v>
      </c>
      <c r="J20" s="31">
        <f t="shared" si="16"/>
        <v>2.9480435712000004</v>
      </c>
      <c r="K20" s="31">
        <f t="shared" si="16"/>
        <v>3.0659653140480003</v>
      </c>
      <c r="L20" s="31">
        <f t="shared" si="16"/>
        <v>3.1886039266099204</v>
      </c>
      <c r="M20" s="31">
        <f t="shared" si="16"/>
        <v>3.3161480836743173</v>
      </c>
      <c r="N20" s="46">
        <f t="shared" si="16"/>
        <v>3.4487940070212901</v>
      </c>
    </row>
    <row r="21" spans="1:14" s="36" customFormat="1" ht="12" x14ac:dyDescent="0.2">
      <c r="A21" s="147"/>
      <c r="B21" s="15" t="s">
        <v>318</v>
      </c>
      <c r="C21" s="16" t="s">
        <v>319</v>
      </c>
      <c r="D21" s="17" t="s">
        <v>320</v>
      </c>
      <c r="E21" s="18">
        <v>36</v>
      </c>
      <c r="F21" s="95">
        <v>2.52</v>
      </c>
      <c r="G21" s="31">
        <f t="shared" ref="G21:N21" si="17">F21*1.04</f>
        <v>2.6208</v>
      </c>
      <c r="H21" s="31">
        <f t="shared" si="17"/>
        <v>2.7256320000000001</v>
      </c>
      <c r="I21" s="31">
        <f t="shared" si="17"/>
        <v>2.8346572800000001</v>
      </c>
      <c r="J21" s="31">
        <f t="shared" si="17"/>
        <v>2.9480435712000004</v>
      </c>
      <c r="K21" s="31">
        <f t="shared" si="17"/>
        <v>3.0659653140480003</v>
      </c>
      <c r="L21" s="31">
        <f t="shared" si="17"/>
        <v>3.1886039266099204</v>
      </c>
      <c r="M21" s="31">
        <f t="shared" si="17"/>
        <v>3.3161480836743173</v>
      </c>
      <c r="N21" s="46">
        <f t="shared" si="17"/>
        <v>3.4487940070212901</v>
      </c>
    </row>
    <row r="22" spans="1:14" s="36" customFormat="1" ht="12" x14ac:dyDescent="0.2">
      <c r="A22" s="147"/>
      <c r="B22" s="15" t="s">
        <v>321</v>
      </c>
      <c r="C22" s="16" t="s">
        <v>322</v>
      </c>
      <c r="D22" s="17" t="s">
        <v>323</v>
      </c>
      <c r="E22" s="18">
        <v>36</v>
      </c>
      <c r="F22" s="95">
        <v>2.52</v>
      </c>
      <c r="G22" s="31">
        <f t="shared" ref="G22:N22" si="18">F22*1.04</f>
        <v>2.6208</v>
      </c>
      <c r="H22" s="31">
        <f t="shared" si="18"/>
        <v>2.7256320000000001</v>
      </c>
      <c r="I22" s="31">
        <f t="shared" si="18"/>
        <v>2.8346572800000001</v>
      </c>
      <c r="J22" s="31">
        <f t="shared" si="18"/>
        <v>2.9480435712000004</v>
      </c>
      <c r="K22" s="31">
        <f t="shared" si="18"/>
        <v>3.0659653140480003</v>
      </c>
      <c r="L22" s="31">
        <f t="shared" si="18"/>
        <v>3.1886039266099204</v>
      </c>
      <c r="M22" s="31">
        <f t="shared" si="18"/>
        <v>3.3161480836743173</v>
      </c>
      <c r="N22" s="46">
        <f t="shared" si="18"/>
        <v>3.4487940070212901</v>
      </c>
    </row>
    <row r="23" spans="1:14" s="36" customFormat="1" ht="12" x14ac:dyDescent="0.2">
      <c r="A23" s="147"/>
      <c r="B23" s="15" t="s">
        <v>324</v>
      </c>
      <c r="C23" s="16" t="s">
        <v>325</v>
      </c>
      <c r="D23" s="17" t="s">
        <v>326</v>
      </c>
      <c r="E23" s="18">
        <v>100</v>
      </c>
      <c r="F23" s="95">
        <v>1.63</v>
      </c>
      <c r="G23" s="31">
        <f t="shared" ref="G23:N23" si="19">F23*1.04</f>
        <v>1.6952</v>
      </c>
      <c r="H23" s="31">
        <f t="shared" si="19"/>
        <v>1.7630080000000001</v>
      </c>
      <c r="I23" s="31">
        <f t="shared" si="19"/>
        <v>1.8335283200000001</v>
      </c>
      <c r="J23" s="31">
        <f t="shared" si="19"/>
        <v>1.9068694528000001</v>
      </c>
      <c r="K23" s="31">
        <f t="shared" si="19"/>
        <v>1.9831442309120002</v>
      </c>
      <c r="L23" s="31">
        <f t="shared" si="19"/>
        <v>2.0624700001484801</v>
      </c>
      <c r="M23" s="31">
        <f t="shared" si="19"/>
        <v>2.1449688001544196</v>
      </c>
      <c r="N23" s="46">
        <f t="shared" si="19"/>
        <v>2.2307675521605965</v>
      </c>
    </row>
    <row r="24" spans="1:14" s="36" customFormat="1" ht="12" x14ac:dyDescent="0.2">
      <c r="A24" s="147"/>
      <c r="B24" s="15" t="s">
        <v>327</v>
      </c>
      <c r="C24" s="16" t="s">
        <v>328</v>
      </c>
      <c r="D24" s="17" t="s">
        <v>329</v>
      </c>
      <c r="E24" s="18">
        <v>40</v>
      </c>
      <c r="F24" s="95">
        <v>1.95</v>
      </c>
      <c r="G24" s="31">
        <f t="shared" ref="G24:N24" si="20">F24*1.04</f>
        <v>2.028</v>
      </c>
      <c r="H24" s="31">
        <f t="shared" si="20"/>
        <v>2.1091199999999999</v>
      </c>
      <c r="I24" s="31">
        <f t="shared" si="20"/>
        <v>2.1934847999999998</v>
      </c>
      <c r="J24" s="31">
        <f t="shared" si="20"/>
        <v>2.2812241919999998</v>
      </c>
      <c r="K24" s="31">
        <f t="shared" si="20"/>
        <v>2.3724731596799997</v>
      </c>
      <c r="L24" s="31">
        <f t="shared" si="20"/>
        <v>2.4673720860671997</v>
      </c>
      <c r="M24" s="31">
        <f t="shared" si="20"/>
        <v>2.5660669695098877</v>
      </c>
      <c r="N24" s="46">
        <f t="shared" si="20"/>
        <v>2.6687096482902835</v>
      </c>
    </row>
    <row r="25" spans="1:14" s="36" customFormat="1" ht="12.75" thickBot="1" x14ac:dyDescent="0.25">
      <c r="A25" s="148"/>
      <c r="B25" s="22" t="s">
        <v>330</v>
      </c>
      <c r="C25" s="19" t="s">
        <v>331</v>
      </c>
      <c r="D25" s="21" t="s">
        <v>332</v>
      </c>
      <c r="E25" s="20">
        <v>100</v>
      </c>
      <c r="F25" s="96">
        <v>0.12</v>
      </c>
      <c r="G25" s="50">
        <f t="shared" ref="G25:N25" si="21">F25*1.04</f>
        <v>0.12479999999999999</v>
      </c>
      <c r="H25" s="50">
        <f t="shared" si="21"/>
        <v>0.12979199999999999</v>
      </c>
      <c r="I25" s="50">
        <f t="shared" si="21"/>
        <v>0.13498367999999999</v>
      </c>
      <c r="J25" s="50">
        <f t="shared" si="21"/>
        <v>0.14038302720000001</v>
      </c>
      <c r="K25" s="50">
        <f t="shared" si="21"/>
        <v>0.14599834828800001</v>
      </c>
      <c r="L25" s="50">
        <f t="shared" si="21"/>
        <v>0.15183828221952003</v>
      </c>
      <c r="M25" s="50">
        <f t="shared" si="21"/>
        <v>0.15791181350830083</v>
      </c>
      <c r="N25" s="51">
        <f t="shared" si="21"/>
        <v>0.16422828604863288</v>
      </c>
    </row>
    <row r="26" spans="1:14" s="36" customFormat="1" ht="12" x14ac:dyDescent="0.2">
      <c r="A26" s="146" t="s">
        <v>333</v>
      </c>
      <c r="B26" s="15" t="s">
        <v>334</v>
      </c>
      <c r="C26" s="23" t="s">
        <v>335</v>
      </c>
      <c r="D26" s="17" t="s">
        <v>336</v>
      </c>
      <c r="E26" s="18">
        <v>12</v>
      </c>
      <c r="F26" s="94">
        <v>6.96</v>
      </c>
      <c r="G26" s="44">
        <f t="shared" ref="G26:N26" si="22">F26*1.04</f>
        <v>7.2384000000000004</v>
      </c>
      <c r="H26" s="44">
        <f t="shared" si="22"/>
        <v>7.5279360000000004</v>
      </c>
      <c r="I26" s="44">
        <f t="shared" si="22"/>
        <v>7.8290534400000009</v>
      </c>
      <c r="J26" s="44">
        <f t="shared" si="22"/>
        <v>8.1422155776000018</v>
      </c>
      <c r="K26" s="44">
        <f t="shared" si="22"/>
        <v>8.4679042007040017</v>
      </c>
      <c r="L26" s="44">
        <f t="shared" si="22"/>
        <v>8.8066203687321618</v>
      </c>
      <c r="M26" s="44">
        <f t="shared" si="22"/>
        <v>9.1588851834814484</v>
      </c>
      <c r="N26" s="45">
        <f t="shared" si="22"/>
        <v>9.5252405908207063</v>
      </c>
    </row>
    <row r="27" spans="1:14" s="36" customFormat="1" ht="12" x14ac:dyDescent="0.2">
      <c r="A27" s="149"/>
      <c r="B27" s="15" t="s">
        <v>337</v>
      </c>
      <c r="C27" s="23" t="s">
        <v>338</v>
      </c>
      <c r="D27" s="17" t="s">
        <v>339</v>
      </c>
      <c r="E27" s="18">
        <v>12</v>
      </c>
      <c r="F27" s="95">
        <v>6.96</v>
      </c>
      <c r="G27" s="31">
        <f t="shared" ref="G27:N27" si="23">F27*1.04</f>
        <v>7.2384000000000004</v>
      </c>
      <c r="H27" s="31">
        <f t="shared" si="23"/>
        <v>7.5279360000000004</v>
      </c>
      <c r="I27" s="31">
        <f t="shared" si="23"/>
        <v>7.8290534400000009</v>
      </c>
      <c r="J27" s="31">
        <f t="shared" si="23"/>
        <v>8.1422155776000018</v>
      </c>
      <c r="K27" s="31">
        <f t="shared" si="23"/>
        <v>8.4679042007040017</v>
      </c>
      <c r="L27" s="31">
        <f t="shared" si="23"/>
        <v>8.8066203687321618</v>
      </c>
      <c r="M27" s="31">
        <f t="shared" si="23"/>
        <v>9.1588851834814484</v>
      </c>
      <c r="N27" s="46">
        <f t="shared" si="23"/>
        <v>9.5252405908207063</v>
      </c>
    </row>
    <row r="28" spans="1:14" s="36" customFormat="1" ht="12" x14ac:dyDescent="0.2">
      <c r="A28" s="149"/>
      <c r="B28" s="15" t="s">
        <v>340</v>
      </c>
      <c r="C28" s="16" t="s">
        <v>341</v>
      </c>
      <c r="D28" s="17" t="s">
        <v>342</v>
      </c>
      <c r="E28" s="18">
        <v>36</v>
      </c>
      <c r="F28" s="95">
        <v>2.71</v>
      </c>
      <c r="G28" s="31">
        <f t="shared" ref="G28:N28" si="24">F28*1.04</f>
        <v>2.8184</v>
      </c>
      <c r="H28" s="31">
        <f t="shared" si="24"/>
        <v>2.931136</v>
      </c>
      <c r="I28" s="31">
        <f t="shared" si="24"/>
        <v>3.04838144</v>
      </c>
      <c r="J28" s="31">
        <f t="shared" si="24"/>
        <v>3.1703166976000001</v>
      </c>
      <c r="K28" s="31">
        <f t="shared" si="24"/>
        <v>3.2971293655040004</v>
      </c>
      <c r="L28" s="31">
        <f t="shared" si="24"/>
        <v>3.4290145401241605</v>
      </c>
      <c r="M28" s="31">
        <f t="shared" si="24"/>
        <v>3.5661751217291271</v>
      </c>
      <c r="N28" s="46">
        <f t="shared" si="24"/>
        <v>3.7088221265982924</v>
      </c>
    </row>
    <row r="29" spans="1:14" s="36" customFormat="1" ht="12" x14ac:dyDescent="0.2">
      <c r="A29" s="149"/>
      <c r="B29" s="15" t="s">
        <v>343</v>
      </c>
      <c r="C29" s="16" t="s">
        <v>344</v>
      </c>
      <c r="D29" s="17" t="s">
        <v>345</v>
      </c>
      <c r="E29" s="18">
        <v>36</v>
      </c>
      <c r="F29" s="95">
        <v>2.98</v>
      </c>
      <c r="G29" s="31">
        <f t="shared" ref="G29:N29" si="25">F29*1.04</f>
        <v>3.0992000000000002</v>
      </c>
      <c r="H29" s="31">
        <f t="shared" si="25"/>
        <v>3.2231680000000003</v>
      </c>
      <c r="I29" s="31">
        <f t="shared" si="25"/>
        <v>3.3520947200000002</v>
      </c>
      <c r="J29" s="31">
        <f t="shared" si="25"/>
        <v>3.4861785088000001</v>
      </c>
      <c r="K29" s="31">
        <f t="shared" si="25"/>
        <v>3.6256256491520005</v>
      </c>
      <c r="L29" s="31">
        <f t="shared" si="25"/>
        <v>3.7706506751180808</v>
      </c>
      <c r="M29" s="31">
        <f t="shared" si="25"/>
        <v>3.9214767021228041</v>
      </c>
      <c r="N29" s="46">
        <f t="shared" si="25"/>
        <v>4.0783357702077163</v>
      </c>
    </row>
    <row r="30" spans="1:14" s="36" customFormat="1" ht="12" x14ac:dyDescent="0.2">
      <c r="A30" s="149"/>
      <c r="B30" s="15" t="s">
        <v>346</v>
      </c>
      <c r="C30" s="16" t="s">
        <v>347</v>
      </c>
      <c r="D30" s="17" t="s">
        <v>348</v>
      </c>
      <c r="E30" s="18">
        <v>36</v>
      </c>
      <c r="F30" s="95">
        <v>2.98</v>
      </c>
      <c r="G30" s="31">
        <f t="shared" ref="G30:N30" si="26">F30*1.04</f>
        <v>3.0992000000000002</v>
      </c>
      <c r="H30" s="31">
        <f t="shared" si="26"/>
        <v>3.2231680000000003</v>
      </c>
      <c r="I30" s="31">
        <f t="shared" si="26"/>
        <v>3.3520947200000002</v>
      </c>
      <c r="J30" s="31">
        <f t="shared" si="26"/>
        <v>3.4861785088000001</v>
      </c>
      <c r="K30" s="31">
        <f t="shared" si="26"/>
        <v>3.6256256491520005</v>
      </c>
      <c r="L30" s="31">
        <f t="shared" si="26"/>
        <v>3.7706506751180808</v>
      </c>
      <c r="M30" s="31">
        <f t="shared" si="26"/>
        <v>3.9214767021228041</v>
      </c>
      <c r="N30" s="46">
        <f t="shared" si="26"/>
        <v>4.0783357702077163</v>
      </c>
    </row>
    <row r="31" spans="1:14" s="36" customFormat="1" ht="12" x14ac:dyDescent="0.2">
      <c r="A31" s="149"/>
      <c r="B31" s="15" t="s">
        <v>349</v>
      </c>
      <c r="C31" s="16" t="s">
        <v>350</v>
      </c>
      <c r="D31" s="17" t="s">
        <v>351</v>
      </c>
      <c r="E31" s="18">
        <v>36</v>
      </c>
      <c r="F31" s="95">
        <v>2.98</v>
      </c>
      <c r="G31" s="31">
        <f t="shared" ref="G31:N31" si="27">F31*1.04</f>
        <v>3.0992000000000002</v>
      </c>
      <c r="H31" s="31">
        <f t="shared" si="27"/>
        <v>3.2231680000000003</v>
      </c>
      <c r="I31" s="31">
        <f t="shared" si="27"/>
        <v>3.3520947200000002</v>
      </c>
      <c r="J31" s="31">
        <f t="shared" si="27"/>
        <v>3.4861785088000001</v>
      </c>
      <c r="K31" s="31">
        <f t="shared" si="27"/>
        <v>3.6256256491520005</v>
      </c>
      <c r="L31" s="31">
        <f t="shared" si="27"/>
        <v>3.7706506751180808</v>
      </c>
      <c r="M31" s="31">
        <f t="shared" si="27"/>
        <v>3.9214767021228041</v>
      </c>
      <c r="N31" s="46">
        <f t="shared" si="27"/>
        <v>4.0783357702077163</v>
      </c>
    </row>
    <row r="32" spans="1:14" s="36" customFormat="1" ht="12" x14ac:dyDescent="0.2">
      <c r="A32" s="149"/>
      <c r="B32" s="15" t="s">
        <v>352</v>
      </c>
      <c r="C32" s="16" t="s">
        <v>353</v>
      </c>
      <c r="D32" s="17" t="s">
        <v>354</v>
      </c>
      <c r="E32" s="18">
        <v>36</v>
      </c>
      <c r="F32" s="95">
        <v>2.98</v>
      </c>
      <c r="G32" s="31">
        <f t="shared" ref="G32:N32" si="28">F32*1.04</f>
        <v>3.0992000000000002</v>
      </c>
      <c r="H32" s="31">
        <f t="shared" si="28"/>
        <v>3.2231680000000003</v>
      </c>
      <c r="I32" s="31">
        <f t="shared" si="28"/>
        <v>3.3520947200000002</v>
      </c>
      <c r="J32" s="31">
        <f t="shared" si="28"/>
        <v>3.4861785088000001</v>
      </c>
      <c r="K32" s="31">
        <f t="shared" si="28"/>
        <v>3.6256256491520005</v>
      </c>
      <c r="L32" s="31">
        <f t="shared" si="28"/>
        <v>3.7706506751180808</v>
      </c>
      <c r="M32" s="31">
        <f t="shared" si="28"/>
        <v>3.9214767021228041</v>
      </c>
      <c r="N32" s="46">
        <f t="shared" si="28"/>
        <v>4.0783357702077163</v>
      </c>
    </row>
    <row r="33" spans="1:14" s="36" customFormat="1" ht="12" x14ac:dyDescent="0.2">
      <c r="A33" s="149"/>
      <c r="B33" s="15" t="s">
        <v>355</v>
      </c>
      <c r="C33" s="16" t="s">
        <v>356</v>
      </c>
      <c r="D33" s="17" t="s">
        <v>357</v>
      </c>
      <c r="E33" s="18">
        <v>36</v>
      </c>
      <c r="F33" s="95">
        <v>2.98</v>
      </c>
      <c r="G33" s="31">
        <f t="shared" ref="G33:N33" si="29">F33*1.04</f>
        <v>3.0992000000000002</v>
      </c>
      <c r="H33" s="31">
        <f t="shared" si="29"/>
        <v>3.2231680000000003</v>
      </c>
      <c r="I33" s="31">
        <f t="shared" si="29"/>
        <v>3.3520947200000002</v>
      </c>
      <c r="J33" s="31">
        <f t="shared" si="29"/>
        <v>3.4861785088000001</v>
      </c>
      <c r="K33" s="31">
        <f t="shared" si="29"/>
        <v>3.6256256491520005</v>
      </c>
      <c r="L33" s="31">
        <f t="shared" si="29"/>
        <v>3.7706506751180808</v>
      </c>
      <c r="M33" s="31">
        <f t="shared" si="29"/>
        <v>3.9214767021228041</v>
      </c>
      <c r="N33" s="46">
        <f t="shared" si="29"/>
        <v>4.0783357702077163</v>
      </c>
    </row>
    <row r="34" spans="1:14" s="36" customFormat="1" ht="12" x14ac:dyDescent="0.2">
      <c r="A34" s="149"/>
      <c r="B34" s="15" t="s">
        <v>358</v>
      </c>
      <c r="C34" s="16" t="s">
        <v>359</v>
      </c>
      <c r="D34" s="17" t="s">
        <v>360</v>
      </c>
      <c r="E34" s="18">
        <v>36</v>
      </c>
      <c r="F34" s="95">
        <v>2.98</v>
      </c>
      <c r="G34" s="31">
        <f t="shared" ref="G34:N34" si="30">F34*1.04</f>
        <v>3.0992000000000002</v>
      </c>
      <c r="H34" s="31">
        <f t="shared" si="30"/>
        <v>3.2231680000000003</v>
      </c>
      <c r="I34" s="31">
        <f t="shared" si="30"/>
        <v>3.3520947200000002</v>
      </c>
      <c r="J34" s="31">
        <f t="shared" si="30"/>
        <v>3.4861785088000001</v>
      </c>
      <c r="K34" s="31">
        <f t="shared" si="30"/>
        <v>3.6256256491520005</v>
      </c>
      <c r="L34" s="31">
        <f t="shared" si="30"/>
        <v>3.7706506751180808</v>
      </c>
      <c r="M34" s="31">
        <f t="shared" si="30"/>
        <v>3.9214767021228041</v>
      </c>
      <c r="N34" s="46">
        <f t="shared" si="30"/>
        <v>4.0783357702077163</v>
      </c>
    </row>
    <row r="35" spans="1:14" s="36" customFormat="1" ht="12" x14ac:dyDescent="0.2">
      <c r="A35" s="149"/>
      <c r="B35" s="15" t="s">
        <v>361</v>
      </c>
      <c r="C35" s="16" t="s">
        <v>362</v>
      </c>
      <c r="D35" s="17" t="s">
        <v>363</v>
      </c>
      <c r="E35" s="18">
        <v>36</v>
      </c>
      <c r="F35" s="95">
        <v>2.98</v>
      </c>
      <c r="G35" s="31">
        <f t="shared" ref="G35:N35" si="31">F35*1.04</f>
        <v>3.0992000000000002</v>
      </c>
      <c r="H35" s="31">
        <f t="shared" si="31"/>
        <v>3.2231680000000003</v>
      </c>
      <c r="I35" s="31">
        <f t="shared" si="31"/>
        <v>3.3520947200000002</v>
      </c>
      <c r="J35" s="31">
        <f t="shared" si="31"/>
        <v>3.4861785088000001</v>
      </c>
      <c r="K35" s="31">
        <f t="shared" si="31"/>
        <v>3.6256256491520005</v>
      </c>
      <c r="L35" s="31">
        <f t="shared" si="31"/>
        <v>3.7706506751180808</v>
      </c>
      <c r="M35" s="31">
        <f t="shared" si="31"/>
        <v>3.9214767021228041</v>
      </c>
      <c r="N35" s="46">
        <f t="shared" si="31"/>
        <v>4.0783357702077163</v>
      </c>
    </row>
    <row r="36" spans="1:14" s="36" customFormat="1" ht="12" x14ac:dyDescent="0.2">
      <c r="A36" s="149"/>
      <c r="B36" s="15" t="s">
        <v>364</v>
      </c>
      <c r="C36" s="16" t="s">
        <v>365</v>
      </c>
      <c r="D36" s="17" t="s">
        <v>366</v>
      </c>
      <c r="E36" s="18">
        <v>36</v>
      </c>
      <c r="F36" s="95">
        <v>2.46</v>
      </c>
      <c r="G36" s="31">
        <f t="shared" ref="G36:N36" si="32">F36*1.04</f>
        <v>2.5584000000000002</v>
      </c>
      <c r="H36" s="31">
        <f t="shared" si="32"/>
        <v>2.6607360000000004</v>
      </c>
      <c r="I36" s="31">
        <f t="shared" si="32"/>
        <v>2.7671654400000008</v>
      </c>
      <c r="J36" s="31">
        <f t="shared" si="32"/>
        <v>2.8778520576000011</v>
      </c>
      <c r="K36" s="31">
        <f t="shared" si="32"/>
        <v>2.9929661399040013</v>
      </c>
      <c r="L36" s="31">
        <f t="shared" si="32"/>
        <v>3.1126847855001616</v>
      </c>
      <c r="M36" s="31">
        <f t="shared" si="32"/>
        <v>3.2371921769201681</v>
      </c>
      <c r="N36" s="46">
        <f t="shared" si="32"/>
        <v>3.3666798639969748</v>
      </c>
    </row>
    <row r="37" spans="1:14" s="36" customFormat="1" ht="12" x14ac:dyDescent="0.2">
      <c r="A37" s="149"/>
      <c r="B37" s="15" t="s">
        <v>367</v>
      </c>
      <c r="C37" s="16" t="s">
        <v>368</v>
      </c>
      <c r="D37" s="17" t="s">
        <v>369</v>
      </c>
      <c r="E37" s="18">
        <v>36</v>
      </c>
      <c r="F37" s="95">
        <v>2.83</v>
      </c>
      <c r="G37" s="31">
        <f t="shared" ref="G37:N37" si="33">F37*1.04</f>
        <v>2.9432</v>
      </c>
      <c r="H37" s="31">
        <f t="shared" si="33"/>
        <v>3.0609280000000001</v>
      </c>
      <c r="I37" s="31">
        <f t="shared" si="33"/>
        <v>3.1833651200000004</v>
      </c>
      <c r="J37" s="31">
        <f t="shared" si="33"/>
        <v>3.3106997248000005</v>
      </c>
      <c r="K37" s="31">
        <f t="shared" si="33"/>
        <v>3.4431277137920007</v>
      </c>
      <c r="L37" s="31">
        <f t="shared" si="33"/>
        <v>3.5808528223436809</v>
      </c>
      <c r="M37" s="31">
        <f t="shared" si="33"/>
        <v>3.7240869352374282</v>
      </c>
      <c r="N37" s="46">
        <f t="shared" si="33"/>
        <v>3.8730504126469256</v>
      </c>
    </row>
    <row r="38" spans="1:14" s="36" customFormat="1" ht="12.75" thickBot="1" x14ac:dyDescent="0.25">
      <c r="A38" s="149"/>
      <c r="B38" s="97" t="s">
        <v>370</v>
      </c>
      <c r="C38" s="98"/>
      <c r="D38" s="99" t="s">
        <v>371</v>
      </c>
      <c r="E38" s="100">
        <v>100</v>
      </c>
      <c r="F38" s="101" t="s">
        <v>372</v>
      </c>
      <c r="G38" s="101" t="s">
        <v>372</v>
      </c>
      <c r="H38" s="101" t="s">
        <v>372</v>
      </c>
      <c r="I38" s="101" t="s">
        <v>372</v>
      </c>
      <c r="J38" s="101" t="s">
        <v>372</v>
      </c>
      <c r="K38" s="101" t="s">
        <v>372</v>
      </c>
      <c r="L38" s="101" t="s">
        <v>372</v>
      </c>
      <c r="M38" s="101" t="s">
        <v>372</v>
      </c>
      <c r="N38" s="101" t="s">
        <v>372</v>
      </c>
    </row>
    <row r="39" spans="1:14" s="36" customFormat="1" ht="12" x14ac:dyDescent="0.2">
      <c r="A39" s="150" t="s">
        <v>373</v>
      </c>
      <c r="B39" s="15" t="s">
        <v>267</v>
      </c>
      <c r="C39" s="23" t="s">
        <v>374</v>
      </c>
      <c r="D39" s="17" t="s">
        <v>375</v>
      </c>
      <c r="E39" s="18">
        <v>12</v>
      </c>
      <c r="F39" s="94">
        <v>7.92</v>
      </c>
      <c r="G39" s="44">
        <f t="shared" ref="G39:N39" si="34">F39*1.04</f>
        <v>8.2368000000000006</v>
      </c>
      <c r="H39" s="44">
        <f t="shared" si="34"/>
        <v>8.5662720000000014</v>
      </c>
      <c r="I39" s="44">
        <f t="shared" si="34"/>
        <v>8.9089228800000022</v>
      </c>
      <c r="J39" s="44">
        <f t="shared" si="34"/>
        <v>9.2652797952000032</v>
      </c>
      <c r="K39" s="44">
        <f t="shared" si="34"/>
        <v>9.6358909870080041</v>
      </c>
      <c r="L39" s="44">
        <f t="shared" si="34"/>
        <v>10.021326626488325</v>
      </c>
      <c r="M39" s="44">
        <f t="shared" si="34"/>
        <v>10.422179691547857</v>
      </c>
      <c r="N39" s="45">
        <f t="shared" si="34"/>
        <v>10.839066879209772</v>
      </c>
    </row>
    <row r="40" spans="1:14" s="36" customFormat="1" ht="12" x14ac:dyDescent="0.2">
      <c r="A40" s="151"/>
      <c r="B40" s="15" t="s">
        <v>270</v>
      </c>
      <c r="C40" s="23" t="s">
        <v>376</v>
      </c>
      <c r="D40" s="17" t="s">
        <v>377</v>
      </c>
      <c r="E40" s="18">
        <v>12</v>
      </c>
      <c r="F40" s="95">
        <v>7.92</v>
      </c>
      <c r="G40" s="31">
        <f t="shared" ref="G40:N40" si="35">F40*1.04</f>
        <v>8.2368000000000006</v>
      </c>
      <c r="H40" s="31">
        <f t="shared" si="35"/>
        <v>8.5662720000000014</v>
      </c>
      <c r="I40" s="31">
        <f t="shared" si="35"/>
        <v>8.9089228800000022</v>
      </c>
      <c r="J40" s="31">
        <f t="shared" si="35"/>
        <v>9.2652797952000032</v>
      </c>
      <c r="K40" s="31">
        <f t="shared" si="35"/>
        <v>9.6358909870080041</v>
      </c>
      <c r="L40" s="31">
        <f t="shared" si="35"/>
        <v>10.021326626488325</v>
      </c>
      <c r="M40" s="31">
        <f t="shared" si="35"/>
        <v>10.422179691547857</v>
      </c>
      <c r="N40" s="46">
        <f t="shared" si="35"/>
        <v>10.839066879209772</v>
      </c>
    </row>
    <row r="41" spans="1:14" s="36" customFormat="1" ht="12" x14ac:dyDescent="0.2">
      <c r="A41" s="151"/>
      <c r="B41" s="15" t="s">
        <v>378</v>
      </c>
      <c r="C41" s="16" t="s">
        <v>379</v>
      </c>
      <c r="D41" s="17" t="s">
        <v>380</v>
      </c>
      <c r="E41" s="18">
        <v>36</v>
      </c>
      <c r="F41" s="95">
        <v>6.95</v>
      </c>
      <c r="G41" s="31">
        <f t="shared" ref="G41:N41" si="36">F41*1.04</f>
        <v>7.2280000000000006</v>
      </c>
      <c r="H41" s="31">
        <f t="shared" si="36"/>
        <v>7.5171200000000011</v>
      </c>
      <c r="I41" s="31">
        <f t="shared" si="36"/>
        <v>7.8178048000000011</v>
      </c>
      <c r="J41" s="31">
        <f t="shared" si="36"/>
        <v>8.1305169920000022</v>
      </c>
      <c r="K41" s="31">
        <f t="shared" si="36"/>
        <v>8.4557376716800032</v>
      </c>
      <c r="L41" s="31">
        <f t="shared" si="36"/>
        <v>8.793967178547204</v>
      </c>
      <c r="M41" s="31">
        <f t="shared" si="36"/>
        <v>9.1457258656890925</v>
      </c>
      <c r="N41" s="46">
        <f t="shared" si="36"/>
        <v>9.5115549003166571</v>
      </c>
    </row>
    <row r="42" spans="1:14" s="36" customFormat="1" ht="12" x14ac:dyDescent="0.2">
      <c r="A42" s="151"/>
      <c r="B42" s="15" t="s">
        <v>381</v>
      </c>
      <c r="C42" s="16" t="s">
        <v>382</v>
      </c>
      <c r="D42" s="17" t="s">
        <v>383</v>
      </c>
      <c r="E42" s="18">
        <v>36</v>
      </c>
      <c r="F42" s="95">
        <v>6.95</v>
      </c>
      <c r="G42" s="31">
        <f t="shared" ref="G42:N42" si="37">F42*1.04</f>
        <v>7.2280000000000006</v>
      </c>
      <c r="H42" s="31">
        <f t="shared" si="37"/>
        <v>7.5171200000000011</v>
      </c>
      <c r="I42" s="31">
        <f t="shared" si="37"/>
        <v>7.8178048000000011</v>
      </c>
      <c r="J42" s="31">
        <f t="shared" si="37"/>
        <v>8.1305169920000022</v>
      </c>
      <c r="K42" s="31">
        <f t="shared" si="37"/>
        <v>8.4557376716800032</v>
      </c>
      <c r="L42" s="31">
        <f t="shared" si="37"/>
        <v>8.793967178547204</v>
      </c>
      <c r="M42" s="31">
        <f t="shared" si="37"/>
        <v>9.1457258656890925</v>
      </c>
      <c r="N42" s="46">
        <f t="shared" si="37"/>
        <v>9.5115549003166571</v>
      </c>
    </row>
    <row r="43" spans="1:14" s="36" customFormat="1" ht="12" x14ac:dyDescent="0.2">
      <c r="A43" s="151"/>
      <c r="B43" s="15" t="s">
        <v>384</v>
      </c>
      <c r="C43" s="16" t="s">
        <v>385</v>
      </c>
      <c r="D43" s="17" t="s">
        <v>386</v>
      </c>
      <c r="E43" s="18">
        <v>36</v>
      </c>
      <c r="F43" s="95">
        <v>6.95</v>
      </c>
      <c r="G43" s="31">
        <f t="shared" ref="G43:N43" si="38">F43*1.04</f>
        <v>7.2280000000000006</v>
      </c>
      <c r="H43" s="31">
        <f t="shared" si="38"/>
        <v>7.5171200000000011</v>
      </c>
      <c r="I43" s="31">
        <f t="shared" si="38"/>
        <v>7.8178048000000011</v>
      </c>
      <c r="J43" s="31">
        <f t="shared" si="38"/>
        <v>8.1305169920000022</v>
      </c>
      <c r="K43" s="31">
        <f t="shared" si="38"/>
        <v>8.4557376716800032</v>
      </c>
      <c r="L43" s="31">
        <f t="shared" si="38"/>
        <v>8.793967178547204</v>
      </c>
      <c r="M43" s="31">
        <f t="shared" si="38"/>
        <v>9.1457258656890925</v>
      </c>
      <c r="N43" s="46">
        <f t="shared" si="38"/>
        <v>9.5115549003166571</v>
      </c>
    </row>
    <row r="44" spans="1:14" s="36" customFormat="1" ht="12" x14ac:dyDescent="0.2">
      <c r="A44" s="151"/>
      <c r="B44" s="15" t="s">
        <v>387</v>
      </c>
      <c r="C44" s="16" t="s">
        <v>388</v>
      </c>
      <c r="D44" s="17" t="s">
        <v>389</v>
      </c>
      <c r="E44" s="18">
        <v>36</v>
      </c>
      <c r="F44" s="95">
        <v>6.95</v>
      </c>
      <c r="G44" s="31">
        <f t="shared" ref="G44:N44" si="39">F44*1.04</f>
        <v>7.2280000000000006</v>
      </c>
      <c r="H44" s="31">
        <f t="shared" si="39"/>
        <v>7.5171200000000011</v>
      </c>
      <c r="I44" s="31">
        <f t="shared" si="39"/>
        <v>7.8178048000000011</v>
      </c>
      <c r="J44" s="31">
        <f t="shared" si="39"/>
        <v>8.1305169920000022</v>
      </c>
      <c r="K44" s="31">
        <f t="shared" si="39"/>
        <v>8.4557376716800032</v>
      </c>
      <c r="L44" s="31">
        <f t="shared" si="39"/>
        <v>8.793967178547204</v>
      </c>
      <c r="M44" s="31">
        <f t="shared" si="39"/>
        <v>9.1457258656890925</v>
      </c>
      <c r="N44" s="46">
        <f t="shared" si="39"/>
        <v>9.5115549003166571</v>
      </c>
    </row>
    <row r="45" spans="1:14" s="36" customFormat="1" ht="12" x14ac:dyDescent="0.2">
      <c r="A45" s="151"/>
      <c r="B45" s="15" t="s">
        <v>306</v>
      </c>
      <c r="C45" s="16" t="s">
        <v>390</v>
      </c>
      <c r="D45" s="17" t="s">
        <v>391</v>
      </c>
      <c r="E45" s="18">
        <v>36</v>
      </c>
      <c r="F45" s="95">
        <v>6.95</v>
      </c>
      <c r="G45" s="31">
        <f t="shared" ref="G45:N45" si="40">F45*1.04</f>
        <v>7.2280000000000006</v>
      </c>
      <c r="H45" s="31">
        <f t="shared" si="40"/>
        <v>7.5171200000000011</v>
      </c>
      <c r="I45" s="31">
        <f t="shared" si="40"/>
        <v>7.8178048000000011</v>
      </c>
      <c r="J45" s="31">
        <f t="shared" si="40"/>
        <v>8.1305169920000022</v>
      </c>
      <c r="K45" s="31">
        <f t="shared" si="40"/>
        <v>8.4557376716800032</v>
      </c>
      <c r="L45" s="31">
        <f t="shared" si="40"/>
        <v>8.793967178547204</v>
      </c>
      <c r="M45" s="31">
        <f t="shared" si="40"/>
        <v>9.1457258656890925</v>
      </c>
      <c r="N45" s="46">
        <f t="shared" si="40"/>
        <v>9.5115549003166571</v>
      </c>
    </row>
    <row r="46" spans="1:14" s="36" customFormat="1" ht="12" x14ac:dyDescent="0.2">
      <c r="A46" s="151"/>
      <c r="B46" s="15" t="s">
        <v>392</v>
      </c>
      <c r="C46" s="16" t="s">
        <v>393</v>
      </c>
      <c r="D46" s="17" t="s">
        <v>394</v>
      </c>
      <c r="E46" s="18">
        <v>36</v>
      </c>
      <c r="F46" s="95">
        <v>6.95</v>
      </c>
      <c r="G46" s="31">
        <f t="shared" ref="G46:N46" si="41">F46*1.04</f>
        <v>7.2280000000000006</v>
      </c>
      <c r="H46" s="31">
        <f t="shared" si="41"/>
        <v>7.5171200000000011</v>
      </c>
      <c r="I46" s="31">
        <f t="shared" si="41"/>
        <v>7.8178048000000011</v>
      </c>
      <c r="J46" s="31">
        <f t="shared" si="41"/>
        <v>8.1305169920000022</v>
      </c>
      <c r="K46" s="31">
        <f t="shared" si="41"/>
        <v>8.4557376716800032</v>
      </c>
      <c r="L46" s="31">
        <f t="shared" si="41"/>
        <v>8.793967178547204</v>
      </c>
      <c r="M46" s="31">
        <f t="shared" si="41"/>
        <v>9.1457258656890925</v>
      </c>
      <c r="N46" s="46">
        <f t="shared" si="41"/>
        <v>9.5115549003166571</v>
      </c>
    </row>
    <row r="47" spans="1:14" s="36" customFormat="1" ht="12" x14ac:dyDescent="0.2">
      <c r="A47" s="151"/>
      <c r="B47" s="15" t="s">
        <v>387</v>
      </c>
      <c r="C47" s="16" t="s">
        <v>395</v>
      </c>
      <c r="D47" s="17" t="s">
        <v>396</v>
      </c>
      <c r="E47" s="18">
        <v>36</v>
      </c>
      <c r="F47" s="95">
        <v>6.95</v>
      </c>
      <c r="G47" s="31">
        <f t="shared" ref="G47:N47" si="42">F47*1.04</f>
        <v>7.2280000000000006</v>
      </c>
      <c r="H47" s="31">
        <f t="shared" si="42"/>
        <v>7.5171200000000011</v>
      </c>
      <c r="I47" s="31">
        <f t="shared" si="42"/>
        <v>7.8178048000000011</v>
      </c>
      <c r="J47" s="31">
        <f t="shared" si="42"/>
        <v>8.1305169920000022</v>
      </c>
      <c r="K47" s="31">
        <f t="shared" si="42"/>
        <v>8.4557376716800032</v>
      </c>
      <c r="L47" s="31">
        <f t="shared" si="42"/>
        <v>8.793967178547204</v>
      </c>
      <c r="M47" s="31">
        <f t="shared" si="42"/>
        <v>9.1457258656890925</v>
      </c>
      <c r="N47" s="46">
        <f t="shared" si="42"/>
        <v>9.5115549003166571</v>
      </c>
    </row>
    <row r="48" spans="1:14" s="36" customFormat="1" ht="12" x14ac:dyDescent="0.2">
      <c r="A48" s="151"/>
      <c r="B48" s="15" t="s">
        <v>397</v>
      </c>
      <c r="C48" s="16" t="s">
        <v>398</v>
      </c>
      <c r="D48" s="17" t="s">
        <v>399</v>
      </c>
      <c r="E48" s="18">
        <v>36</v>
      </c>
      <c r="F48" s="95">
        <v>6.95</v>
      </c>
      <c r="G48" s="31">
        <f t="shared" ref="G48:N48" si="43">F48*1.04</f>
        <v>7.2280000000000006</v>
      </c>
      <c r="H48" s="31">
        <f t="shared" si="43"/>
        <v>7.5171200000000011</v>
      </c>
      <c r="I48" s="31">
        <f t="shared" si="43"/>
        <v>7.8178048000000011</v>
      </c>
      <c r="J48" s="31">
        <f t="shared" si="43"/>
        <v>8.1305169920000022</v>
      </c>
      <c r="K48" s="31">
        <f t="shared" si="43"/>
        <v>8.4557376716800032</v>
      </c>
      <c r="L48" s="31">
        <f t="shared" si="43"/>
        <v>8.793967178547204</v>
      </c>
      <c r="M48" s="31">
        <f t="shared" si="43"/>
        <v>9.1457258656890925</v>
      </c>
      <c r="N48" s="46">
        <f t="shared" si="43"/>
        <v>9.5115549003166571</v>
      </c>
    </row>
    <row r="49" spans="1:14" s="36" customFormat="1" ht="12" x14ac:dyDescent="0.2">
      <c r="A49" s="151"/>
      <c r="B49" s="15" t="s">
        <v>400</v>
      </c>
      <c r="C49" s="16" t="s">
        <v>401</v>
      </c>
      <c r="D49" s="17" t="s">
        <v>402</v>
      </c>
      <c r="E49" s="18">
        <v>36</v>
      </c>
      <c r="F49" s="95">
        <v>6.95</v>
      </c>
      <c r="G49" s="31">
        <f t="shared" ref="G49:N49" si="44">F49*1.04</f>
        <v>7.2280000000000006</v>
      </c>
      <c r="H49" s="31">
        <f t="shared" si="44"/>
        <v>7.5171200000000011</v>
      </c>
      <c r="I49" s="31">
        <f t="shared" si="44"/>
        <v>7.8178048000000011</v>
      </c>
      <c r="J49" s="31">
        <f t="shared" si="44"/>
        <v>8.1305169920000022</v>
      </c>
      <c r="K49" s="31">
        <f t="shared" si="44"/>
        <v>8.4557376716800032</v>
      </c>
      <c r="L49" s="31">
        <f t="shared" si="44"/>
        <v>8.793967178547204</v>
      </c>
      <c r="M49" s="31">
        <f t="shared" si="44"/>
        <v>9.1457258656890925</v>
      </c>
      <c r="N49" s="46">
        <f t="shared" si="44"/>
        <v>9.5115549003166571</v>
      </c>
    </row>
    <row r="50" spans="1:14" s="36" customFormat="1" ht="12" x14ac:dyDescent="0.2">
      <c r="A50" s="151"/>
      <c r="B50" s="15" t="s">
        <v>403</v>
      </c>
      <c r="C50" s="16" t="s">
        <v>404</v>
      </c>
      <c r="D50" s="17" t="s">
        <v>405</v>
      </c>
      <c r="E50" s="18">
        <v>100</v>
      </c>
      <c r="F50" s="95">
        <v>2.5299999999999998</v>
      </c>
      <c r="G50" s="31">
        <f t="shared" ref="G50:N50" si="45">F50*1.04</f>
        <v>2.6311999999999998</v>
      </c>
      <c r="H50" s="31">
        <f t="shared" si="45"/>
        <v>2.7364479999999998</v>
      </c>
      <c r="I50" s="31">
        <f t="shared" si="45"/>
        <v>2.8459059199999999</v>
      </c>
      <c r="J50" s="31">
        <f t="shared" si="45"/>
        <v>2.9597421568</v>
      </c>
      <c r="K50" s="31">
        <f t="shared" si="45"/>
        <v>3.0781318430720002</v>
      </c>
      <c r="L50" s="31">
        <f t="shared" si="45"/>
        <v>3.2012571167948805</v>
      </c>
      <c r="M50" s="31">
        <f t="shared" si="45"/>
        <v>3.3293074014666759</v>
      </c>
      <c r="N50" s="46">
        <f t="shared" si="45"/>
        <v>3.4624796975253429</v>
      </c>
    </row>
    <row r="51" spans="1:14" s="36" customFormat="1" ht="12" x14ac:dyDescent="0.2">
      <c r="A51" s="151"/>
      <c r="B51" s="15" t="s">
        <v>406</v>
      </c>
      <c r="C51" s="16" t="s">
        <v>407</v>
      </c>
      <c r="D51" s="17" t="s">
        <v>408</v>
      </c>
      <c r="E51" s="18">
        <v>40</v>
      </c>
      <c r="F51" s="95">
        <v>2.96</v>
      </c>
      <c r="G51" s="31">
        <f t="shared" ref="G51:N51" si="46">F51*1.04</f>
        <v>3.0784000000000002</v>
      </c>
      <c r="H51" s="31">
        <f t="shared" si="46"/>
        <v>3.2015360000000004</v>
      </c>
      <c r="I51" s="31">
        <f t="shared" si="46"/>
        <v>3.3295974400000006</v>
      </c>
      <c r="J51" s="31">
        <f t="shared" si="46"/>
        <v>3.4627813376000005</v>
      </c>
      <c r="K51" s="31">
        <f t="shared" si="46"/>
        <v>3.6012925911040008</v>
      </c>
      <c r="L51" s="31">
        <f t="shared" si="46"/>
        <v>3.7453442947481608</v>
      </c>
      <c r="M51" s="31">
        <f t="shared" si="46"/>
        <v>3.8951580665380874</v>
      </c>
      <c r="N51" s="46">
        <f t="shared" si="46"/>
        <v>4.0509643891996108</v>
      </c>
    </row>
    <row r="52" spans="1:14" s="36" customFormat="1" ht="12.75" thickBot="1" x14ac:dyDescent="0.25">
      <c r="A52" s="152"/>
      <c r="B52" s="97" t="s">
        <v>409</v>
      </c>
      <c r="C52" s="98" t="s">
        <v>410</v>
      </c>
      <c r="D52" s="99" t="s">
        <v>411</v>
      </c>
      <c r="E52" s="100">
        <v>100</v>
      </c>
      <c r="F52" s="101">
        <v>0.15</v>
      </c>
      <c r="G52" s="50">
        <f t="shared" ref="G52:N52" si="47">F52*1.04</f>
        <v>0.156</v>
      </c>
      <c r="H52" s="50">
        <f t="shared" si="47"/>
        <v>0.16224</v>
      </c>
      <c r="I52" s="50">
        <f t="shared" si="47"/>
        <v>0.16872960000000001</v>
      </c>
      <c r="J52" s="50">
        <f t="shared" si="47"/>
        <v>0.17547878400000003</v>
      </c>
      <c r="K52" s="50">
        <f t="shared" si="47"/>
        <v>0.18249793536000003</v>
      </c>
      <c r="L52" s="50">
        <f t="shared" si="47"/>
        <v>0.18979785277440003</v>
      </c>
      <c r="M52" s="50">
        <f t="shared" si="47"/>
        <v>0.19738976688537604</v>
      </c>
      <c r="N52" s="51">
        <f t="shared" si="47"/>
        <v>0.20528535756079108</v>
      </c>
    </row>
  </sheetData>
  <mergeCells count="13">
    <mergeCell ref="A39:A52"/>
    <mergeCell ref="A2:A3"/>
    <mergeCell ref="B2:B3"/>
    <mergeCell ref="C2:C3"/>
    <mergeCell ref="D2:D3"/>
    <mergeCell ref="L2:N2"/>
    <mergeCell ref="F1:N1"/>
    <mergeCell ref="B1:E1"/>
    <mergeCell ref="A4:A25"/>
    <mergeCell ref="A26:A38"/>
    <mergeCell ref="E2:E3"/>
    <mergeCell ref="F2:H2"/>
    <mergeCell ref="I2:K2"/>
  </mergeCells>
  <pageMargins left="0.51181102362204722" right="0.51181102362204722" top="0.78740157480314965" bottom="0.78740157480314965" header="0.31496062992125984" footer="0.31496062992125984"/>
  <pageSetup paperSize="9" scale="6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8"/>
  <sheetViews>
    <sheetView workbookViewId="0">
      <selection activeCell="F34" sqref="F34"/>
    </sheetView>
  </sheetViews>
  <sheetFormatPr defaultRowHeight="12" x14ac:dyDescent="0.2"/>
  <cols>
    <col min="1" max="1" width="7.85546875" style="36" customWidth="1"/>
    <col min="2" max="2" width="10.85546875" style="36" customWidth="1"/>
    <col min="3" max="3" width="10.140625" style="36" customWidth="1"/>
    <col min="4" max="4" width="49.5703125" style="36" customWidth="1"/>
    <col min="5" max="5" width="7.42578125" style="36" customWidth="1"/>
    <col min="6" max="8" width="11.140625" style="36" customWidth="1"/>
    <col min="9" max="16384" width="9.140625" style="36"/>
  </cols>
  <sheetData>
    <row r="1" spans="1:8" ht="45" customHeight="1" thickBot="1" x14ac:dyDescent="0.25">
      <c r="B1" s="27"/>
      <c r="C1" s="27"/>
      <c r="D1" s="27" t="s">
        <v>618</v>
      </c>
      <c r="E1" s="37"/>
      <c r="F1" s="155" t="s">
        <v>1</v>
      </c>
      <c r="G1" s="156"/>
      <c r="H1" s="156"/>
    </row>
    <row r="2" spans="1:8" ht="24.75" thickBot="1" x14ac:dyDescent="0.25">
      <c r="A2" s="107" t="s">
        <v>3</v>
      </c>
      <c r="B2" s="108" t="s">
        <v>614</v>
      </c>
      <c r="C2" s="109" t="s">
        <v>5</v>
      </c>
      <c r="D2" s="108" t="s">
        <v>6</v>
      </c>
      <c r="E2" s="110" t="s">
        <v>7</v>
      </c>
      <c r="F2" s="111" t="s">
        <v>8</v>
      </c>
      <c r="G2" s="112" t="s">
        <v>9</v>
      </c>
      <c r="H2" s="113" t="s">
        <v>10</v>
      </c>
    </row>
    <row r="3" spans="1:8" ht="12" customHeight="1" x14ac:dyDescent="0.2">
      <c r="A3" s="151" t="s">
        <v>421</v>
      </c>
      <c r="B3" s="102" t="s">
        <v>422</v>
      </c>
      <c r="C3" s="115" t="s">
        <v>423</v>
      </c>
      <c r="D3" s="103" t="s">
        <v>424</v>
      </c>
      <c r="E3" s="104">
        <v>80</v>
      </c>
      <c r="F3" s="105">
        <v>21.13355</v>
      </c>
      <c r="G3" s="105">
        <f>F3*1.08</f>
        <v>22.824234000000001</v>
      </c>
      <c r="H3" s="106">
        <f>G3*1.08</f>
        <v>24.65017272</v>
      </c>
    </row>
    <row r="4" spans="1:8" x14ac:dyDescent="0.2">
      <c r="A4" s="151"/>
      <c r="B4" s="63" t="s">
        <v>425</v>
      </c>
      <c r="C4" s="116" t="s">
        <v>426</v>
      </c>
      <c r="D4" s="64" t="s">
        <v>427</v>
      </c>
      <c r="E4" s="65">
        <v>80</v>
      </c>
      <c r="F4" s="66">
        <v>21.13</v>
      </c>
      <c r="G4" s="66">
        <f t="shared" ref="G4:H4" si="0">F4*1.08</f>
        <v>22.820399999999999</v>
      </c>
      <c r="H4" s="67">
        <f t="shared" si="0"/>
        <v>24.646032000000002</v>
      </c>
    </row>
    <row r="5" spans="1:8" x14ac:dyDescent="0.2">
      <c r="A5" s="151"/>
      <c r="B5" s="63" t="s">
        <v>428</v>
      </c>
      <c r="C5" s="116" t="s">
        <v>429</v>
      </c>
      <c r="D5" s="64" t="s">
        <v>427</v>
      </c>
      <c r="E5" s="65">
        <v>60</v>
      </c>
      <c r="F5" s="66">
        <v>21.126449999999998</v>
      </c>
      <c r="G5" s="66">
        <f t="shared" ref="G5:H5" si="1">F5*1.08</f>
        <v>22.816565999999998</v>
      </c>
      <c r="H5" s="67">
        <f t="shared" si="1"/>
        <v>24.641891279999999</v>
      </c>
    </row>
    <row r="6" spans="1:8" x14ac:dyDescent="0.2">
      <c r="A6" s="151"/>
      <c r="B6" s="63" t="s">
        <v>430</v>
      </c>
      <c r="C6" s="116" t="s">
        <v>431</v>
      </c>
      <c r="D6" s="64" t="s">
        <v>432</v>
      </c>
      <c r="E6" s="65">
        <v>60</v>
      </c>
      <c r="F6" s="66">
        <v>21.126449999999998</v>
      </c>
      <c r="G6" s="66">
        <f t="shared" ref="G6:H6" si="2">F6*1.08</f>
        <v>22.816565999999998</v>
      </c>
      <c r="H6" s="67">
        <f t="shared" si="2"/>
        <v>24.641891279999999</v>
      </c>
    </row>
    <row r="7" spans="1:8" x14ac:dyDescent="0.2">
      <c r="A7" s="151"/>
      <c r="B7" s="63" t="s">
        <v>433</v>
      </c>
      <c r="C7" s="116" t="s">
        <v>434</v>
      </c>
      <c r="D7" s="64" t="s">
        <v>427</v>
      </c>
      <c r="E7" s="65">
        <v>60</v>
      </c>
      <c r="F7" s="66">
        <v>21.126449999999998</v>
      </c>
      <c r="G7" s="66">
        <f t="shared" ref="G7:H7" si="3">F7*1.08</f>
        <v>22.816565999999998</v>
      </c>
      <c r="H7" s="67">
        <f t="shared" si="3"/>
        <v>24.641891279999999</v>
      </c>
    </row>
    <row r="8" spans="1:8" x14ac:dyDescent="0.2">
      <c r="A8" s="151"/>
      <c r="B8" s="63" t="s">
        <v>435</v>
      </c>
      <c r="C8" s="116" t="s">
        <v>436</v>
      </c>
      <c r="D8" s="64" t="s">
        <v>437</v>
      </c>
      <c r="E8" s="65">
        <v>54</v>
      </c>
      <c r="F8" s="66">
        <v>21.126449999999998</v>
      </c>
      <c r="G8" s="66">
        <f t="shared" ref="G8:H8" si="4">F8*1.08</f>
        <v>22.816565999999998</v>
      </c>
      <c r="H8" s="67">
        <f t="shared" si="4"/>
        <v>24.641891279999999</v>
      </c>
    </row>
    <row r="9" spans="1:8" x14ac:dyDescent="0.2">
      <c r="A9" s="151"/>
      <c r="B9" s="63" t="s">
        <v>438</v>
      </c>
      <c r="C9" s="116" t="s">
        <v>439</v>
      </c>
      <c r="D9" s="64" t="s">
        <v>437</v>
      </c>
      <c r="E9" s="65">
        <v>100</v>
      </c>
      <c r="F9" s="66">
        <v>21.126449999999998</v>
      </c>
      <c r="G9" s="66">
        <f t="shared" ref="G9:H9" si="5">F9*1.08</f>
        <v>22.816565999999998</v>
      </c>
      <c r="H9" s="67">
        <f t="shared" si="5"/>
        <v>24.641891279999999</v>
      </c>
    </row>
    <row r="10" spans="1:8" x14ac:dyDescent="0.2">
      <c r="A10" s="151"/>
      <c r="B10" s="63" t="s">
        <v>440</v>
      </c>
      <c r="C10" s="116" t="s">
        <v>441</v>
      </c>
      <c r="D10" s="64" t="s">
        <v>437</v>
      </c>
      <c r="E10" s="65">
        <v>100</v>
      </c>
      <c r="F10" s="66">
        <v>21.126449999999998</v>
      </c>
      <c r="G10" s="66">
        <f t="shared" ref="G10:H10" si="6">F10*1.08</f>
        <v>22.816565999999998</v>
      </c>
      <c r="H10" s="67">
        <f t="shared" si="6"/>
        <v>24.641891279999999</v>
      </c>
    </row>
    <row r="11" spans="1:8" x14ac:dyDescent="0.2">
      <c r="A11" s="151"/>
      <c r="B11" s="63" t="s">
        <v>442</v>
      </c>
      <c r="C11" s="116" t="s">
        <v>443</v>
      </c>
      <c r="D11" s="64" t="s">
        <v>444</v>
      </c>
      <c r="E11" s="65">
        <v>75</v>
      </c>
      <c r="F11" s="66">
        <v>21.126449999999998</v>
      </c>
      <c r="G11" s="66">
        <f t="shared" ref="G11:H11" si="7">F11*1.08</f>
        <v>22.816565999999998</v>
      </c>
      <c r="H11" s="67">
        <f t="shared" si="7"/>
        <v>24.641891279999999</v>
      </c>
    </row>
    <row r="12" spans="1:8" x14ac:dyDescent="0.2">
      <c r="A12" s="151"/>
      <c r="B12" s="63" t="s">
        <v>445</v>
      </c>
      <c r="C12" s="116" t="s">
        <v>446</v>
      </c>
      <c r="D12" s="64" t="s">
        <v>444</v>
      </c>
      <c r="E12" s="65">
        <v>75</v>
      </c>
      <c r="F12" s="66">
        <v>21.126449999999998</v>
      </c>
      <c r="G12" s="66">
        <f t="shared" ref="G12:H12" si="8">F12*1.08</f>
        <v>22.816565999999998</v>
      </c>
      <c r="H12" s="67">
        <f t="shared" si="8"/>
        <v>24.641891279999999</v>
      </c>
    </row>
    <row r="13" spans="1:8" ht="12.75" thickBot="1" x14ac:dyDescent="0.25">
      <c r="A13" s="157"/>
      <c r="B13" s="68" t="s">
        <v>447</v>
      </c>
      <c r="C13" s="117" t="s">
        <v>448</v>
      </c>
      <c r="D13" s="69" t="s">
        <v>437</v>
      </c>
      <c r="E13" s="70">
        <v>80</v>
      </c>
      <c r="F13" s="71">
        <v>21.126449999999998</v>
      </c>
      <c r="G13" s="71">
        <f t="shared" ref="G13:H14" si="9">F13*1.08</f>
        <v>22.816565999999998</v>
      </c>
      <c r="H13" s="72">
        <f t="shared" si="9"/>
        <v>24.641891279999999</v>
      </c>
    </row>
    <row r="14" spans="1:8" x14ac:dyDescent="0.2">
      <c r="A14" s="150" t="s">
        <v>615</v>
      </c>
      <c r="B14" s="63" t="s">
        <v>449</v>
      </c>
      <c r="C14" s="116" t="s">
        <v>450</v>
      </c>
      <c r="D14" s="64" t="s">
        <v>451</v>
      </c>
      <c r="E14" s="65">
        <v>300</v>
      </c>
      <c r="F14" s="66">
        <v>4.3348100000000001</v>
      </c>
      <c r="G14" s="66">
        <f t="shared" si="9"/>
        <v>4.6815948000000001</v>
      </c>
      <c r="H14" s="67">
        <f t="shared" si="9"/>
        <v>5.056122384</v>
      </c>
    </row>
    <row r="15" spans="1:8" x14ac:dyDescent="0.2">
      <c r="A15" s="151"/>
      <c r="B15" s="63" t="s">
        <v>452</v>
      </c>
      <c r="C15" s="116" t="s">
        <v>453</v>
      </c>
      <c r="D15" s="64" t="s">
        <v>454</v>
      </c>
      <c r="E15" s="65">
        <v>300</v>
      </c>
      <c r="F15" s="66">
        <v>4.3348100000000001</v>
      </c>
      <c r="G15" s="66">
        <f t="shared" ref="G15:H15" si="10">F15*1.08</f>
        <v>4.6815948000000001</v>
      </c>
      <c r="H15" s="67">
        <f t="shared" si="10"/>
        <v>5.056122384</v>
      </c>
    </row>
    <row r="16" spans="1:8" x14ac:dyDescent="0.2">
      <c r="A16" s="151"/>
      <c r="B16" s="63" t="s">
        <v>455</v>
      </c>
      <c r="C16" s="116" t="s">
        <v>456</v>
      </c>
      <c r="D16" s="64" t="s">
        <v>457</v>
      </c>
      <c r="E16" s="65">
        <v>325</v>
      </c>
      <c r="F16" s="66">
        <v>4.3348100000000001</v>
      </c>
      <c r="G16" s="66">
        <f t="shared" ref="G16:H16" si="11">F16*1.08</f>
        <v>4.6815948000000001</v>
      </c>
      <c r="H16" s="67">
        <f t="shared" si="11"/>
        <v>5.056122384</v>
      </c>
    </row>
    <row r="17" spans="1:8" x14ac:dyDescent="0.2">
      <c r="A17" s="151"/>
      <c r="B17" s="63" t="s">
        <v>458</v>
      </c>
      <c r="C17" s="116" t="s">
        <v>459</v>
      </c>
      <c r="D17" s="64" t="s">
        <v>460</v>
      </c>
      <c r="E17" s="65">
        <v>300</v>
      </c>
      <c r="F17" s="66">
        <v>4.3348100000000001</v>
      </c>
      <c r="G17" s="66">
        <f t="shared" ref="G17:H17" si="12">F17*1.08</f>
        <v>4.6815948000000001</v>
      </c>
      <c r="H17" s="67">
        <f t="shared" si="12"/>
        <v>5.056122384</v>
      </c>
    </row>
    <row r="18" spans="1:8" x14ac:dyDescent="0.2">
      <c r="A18" s="151"/>
      <c r="B18" s="63" t="s">
        <v>461</v>
      </c>
      <c r="C18" s="116" t="s">
        <v>462</v>
      </c>
      <c r="D18" s="64" t="s">
        <v>463</v>
      </c>
      <c r="E18" s="65">
        <v>325</v>
      </c>
      <c r="F18" s="66">
        <v>4.3348100000000001</v>
      </c>
      <c r="G18" s="66">
        <f t="shared" ref="G18:H20" si="13">F18*1.08</f>
        <v>4.6815948000000001</v>
      </c>
      <c r="H18" s="67">
        <f t="shared" si="13"/>
        <v>5.056122384</v>
      </c>
    </row>
    <row r="19" spans="1:8" ht="12.75" thickBot="1" x14ac:dyDescent="0.25">
      <c r="A19" s="151"/>
      <c r="B19" s="68" t="s">
        <v>464</v>
      </c>
      <c r="C19" s="117" t="s">
        <v>465</v>
      </c>
      <c r="D19" s="69" t="s">
        <v>466</v>
      </c>
      <c r="E19" s="70">
        <v>300</v>
      </c>
      <c r="F19" s="71">
        <v>4.3348100000000001</v>
      </c>
      <c r="G19" s="71">
        <f t="shared" si="13"/>
        <v>4.6815948000000001</v>
      </c>
      <c r="H19" s="72">
        <f t="shared" si="13"/>
        <v>5.056122384</v>
      </c>
    </row>
    <row r="20" spans="1:8" ht="12" customHeight="1" x14ac:dyDescent="0.2">
      <c r="A20" s="153" t="s">
        <v>616</v>
      </c>
      <c r="B20" s="63" t="s">
        <v>467</v>
      </c>
      <c r="C20" s="116" t="s">
        <v>468</v>
      </c>
      <c r="D20" s="64" t="s">
        <v>469</v>
      </c>
      <c r="E20" s="65">
        <v>150</v>
      </c>
      <c r="F20" s="66">
        <v>5.3617599999999994</v>
      </c>
      <c r="G20" s="66">
        <f t="shared" si="13"/>
        <v>5.7907007999999998</v>
      </c>
      <c r="H20" s="67">
        <f t="shared" si="13"/>
        <v>6.2539568640000001</v>
      </c>
    </row>
    <row r="21" spans="1:8" x14ac:dyDescent="0.2">
      <c r="A21" s="154"/>
      <c r="B21" s="63" t="s">
        <v>470</v>
      </c>
      <c r="C21" s="116" t="s">
        <v>471</v>
      </c>
      <c r="D21" s="64" t="s">
        <v>472</v>
      </c>
      <c r="E21" s="65">
        <v>150</v>
      </c>
      <c r="F21" s="66">
        <v>5.3617599999999994</v>
      </c>
      <c r="G21" s="66">
        <f t="shared" ref="G21:H21" si="14">F21*1.08</f>
        <v>5.7907007999999998</v>
      </c>
      <c r="H21" s="67">
        <f t="shared" si="14"/>
        <v>6.2539568640000001</v>
      </c>
    </row>
    <row r="22" spans="1:8" x14ac:dyDescent="0.2">
      <c r="A22" s="154"/>
      <c r="B22" s="63" t="s">
        <v>473</v>
      </c>
      <c r="C22" s="116" t="s">
        <v>474</v>
      </c>
      <c r="D22" s="64" t="s">
        <v>475</v>
      </c>
      <c r="E22" s="65">
        <v>180</v>
      </c>
      <c r="F22" s="73">
        <v>4.9077399999999995</v>
      </c>
      <c r="G22" s="66">
        <f t="shared" ref="G22:H22" si="15">F22*1.08</f>
        <v>5.3003591999999999</v>
      </c>
      <c r="H22" s="67">
        <f t="shared" si="15"/>
        <v>5.7243879360000003</v>
      </c>
    </row>
    <row r="23" spans="1:8" x14ac:dyDescent="0.2">
      <c r="A23" s="154"/>
      <c r="B23" s="63" t="s">
        <v>476</v>
      </c>
      <c r="C23" s="116" t="s">
        <v>477</v>
      </c>
      <c r="D23" s="64" t="s">
        <v>478</v>
      </c>
      <c r="E23" s="65">
        <v>180</v>
      </c>
      <c r="F23" s="73">
        <v>4.9077399999999995</v>
      </c>
      <c r="G23" s="66">
        <f t="shared" ref="G23:H23" si="16">F23*1.08</f>
        <v>5.3003591999999999</v>
      </c>
      <c r="H23" s="67">
        <f t="shared" si="16"/>
        <v>5.7243879360000003</v>
      </c>
    </row>
    <row r="24" spans="1:8" x14ac:dyDescent="0.2">
      <c r="A24" s="154"/>
      <c r="B24" s="63" t="s">
        <v>479</v>
      </c>
      <c r="C24" s="116" t="s">
        <v>480</v>
      </c>
      <c r="D24" s="64" t="s">
        <v>481</v>
      </c>
      <c r="E24" s="65">
        <v>150</v>
      </c>
      <c r="F24" s="73">
        <v>4.9077399999999995</v>
      </c>
      <c r="G24" s="66">
        <f t="shared" ref="G24:H24" si="17">F24*1.08</f>
        <v>5.3003591999999999</v>
      </c>
      <c r="H24" s="67">
        <f t="shared" si="17"/>
        <v>5.7243879360000003</v>
      </c>
    </row>
    <row r="25" spans="1:8" x14ac:dyDescent="0.2">
      <c r="A25" s="154"/>
      <c r="B25" s="63" t="s">
        <v>482</v>
      </c>
      <c r="C25" s="116" t="s">
        <v>483</v>
      </c>
      <c r="D25" s="64" t="s">
        <v>484</v>
      </c>
      <c r="E25" s="65">
        <v>200</v>
      </c>
      <c r="F25" s="73">
        <v>4.9077399999999995</v>
      </c>
      <c r="G25" s="66">
        <f t="shared" ref="G25:H25" si="18">F25*1.08</f>
        <v>5.3003591999999999</v>
      </c>
      <c r="H25" s="67">
        <f t="shared" si="18"/>
        <v>5.7243879360000003</v>
      </c>
    </row>
    <row r="26" spans="1:8" x14ac:dyDescent="0.2">
      <c r="A26" s="154"/>
      <c r="B26" s="63" t="s">
        <v>485</v>
      </c>
      <c r="C26" s="116" t="s">
        <v>486</v>
      </c>
      <c r="D26" s="64" t="s">
        <v>487</v>
      </c>
      <c r="E26" s="65">
        <v>200</v>
      </c>
      <c r="F26" s="73">
        <v>4.9077399999999995</v>
      </c>
      <c r="G26" s="66">
        <f t="shared" ref="G26:H26" si="19">F26*1.08</f>
        <v>5.3003591999999999</v>
      </c>
      <c r="H26" s="67">
        <f t="shared" si="19"/>
        <v>5.7243879360000003</v>
      </c>
    </row>
    <row r="27" spans="1:8" x14ac:dyDescent="0.2">
      <c r="A27" s="154"/>
      <c r="B27" s="63" t="s">
        <v>488</v>
      </c>
      <c r="C27" s="116" t="s">
        <v>489</v>
      </c>
      <c r="D27" s="64" t="s">
        <v>490</v>
      </c>
      <c r="E27" s="65">
        <v>200</v>
      </c>
      <c r="F27" s="73">
        <v>4.9077399999999995</v>
      </c>
      <c r="G27" s="66">
        <f t="shared" ref="G27:H27" si="20">F27*1.08</f>
        <v>5.3003591999999999</v>
      </c>
      <c r="H27" s="67">
        <f t="shared" si="20"/>
        <v>5.7243879360000003</v>
      </c>
    </row>
    <row r="28" spans="1:8" x14ac:dyDescent="0.2">
      <c r="A28" s="154"/>
      <c r="B28" s="63" t="s">
        <v>491</v>
      </c>
      <c r="C28" s="116" t="s">
        <v>492</v>
      </c>
      <c r="D28" s="64" t="s">
        <v>493</v>
      </c>
      <c r="E28" s="65">
        <v>180</v>
      </c>
      <c r="F28" s="73">
        <v>4.9077399999999995</v>
      </c>
      <c r="G28" s="66">
        <f t="shared" ref="G28:H28" si="21">F28*1.08</f>
        <v>5.3003591999999999</v>
      </c>
      <c r="H28" s="67">
        <f t="shared" si="21"/>
        <v>5.7243879360000003</v>
      </c>
    </row>
    <row r="29" spans="1:8" x14ac:dyDescent="0.2">
      <c r="A29" s="154"/>
      <c r="B29" s="63" t="s">
        <v>494</v>
      </c>
      <c r="C29" s="116" t="s">
        <v>495</v>
      </c>
      <c r="D29" s="64" t="s">
        <v>496</v>
      </c>
      <c r="E29" s="65">
        <v>150</v>
      </c>
      <c r="F29" s="73">
        <v>4.9077399999999995</v>
      </c>
      <c r="G29" s="66">
        <f t="shared" ref="G29:H29" si="22">F29*1.08</f>
        <v>5.3003591999999999</v>
      </c>
      <c r="H29" s="67">
        <f t="shared" si="22"/>
        <v>5.7243879360000003</v>
      </c>
    </row>
    <row r="30" spans="1:8" x14ac:dyDescent="0.2">
      <c r="A30" s="154"/>
      <c r="B30" s="63" t="s">
        <v>497</v>
      </c>
      <c r="C30" s="116" t="s">
        <v>498</v>
      </c>
      <c r="D30" s="64" t="s">
        <v>499</v>
      </c>
      <c r="E30" s="65">
        <v>150</v>
      </c>
      <c r="F30" s="74">
        <v>6.2806099999999994</v>
      </c>
      <c r="G30" s="66">
        <f t="shared" ref="G30:H30" si="23">F30*1.08</f>
        <v>6.7830588000000001</v>
      </c>
      <c r="H30" s="67">
        <f t="shared" si="23"/>
        <v>7.3257035040000007</v>
      </c>
    </row>
    <row r="31" spans="1:8" x14ac:dyDescent="0.2">
      <c r="A31" s="154"/>
      <c r="B31" s="63" t="s">
        <v>500</v>
      </c>
      <c r="C31" s="116" t="s">
        <v>501</v>
      </c>
      <c r="D31" s="64" t="s">
        <v>502</v>
      </c>
      <c r="E31" s="65">
        <v>160</v>
      </c>
      <c r="F31" s="66">
        <v>4.9077399999999995</v>
      </c>
      <c r="G31" s="66">
        <f t="shared" ref="G31:H31" si="24">F31*1.08</f>
        <v>5.3003591999999999</v>
      </c>
      <c r="H31" s="67">
        <f t="shared" si="24"/>
        <v>5.7243879360000003</v>
      </c>
    </row>
    <row r="32" spans="1:8" x14ac:dyDescent="0.2">
      <c r="A32" s="154"/>
      <c r="B32" s="63" t="s">
        <v>503</v>
      </c>
      <c r="C32" s="116" t="s">
        <v>504</v>
      </c>
      <c r="D32" s="64" t="s">
        <v>505</v>
      </c>
      <c r="E32" s="65">
        <v>200</v>
      </c>
      <c r="F32" s="66">
        <v>4.9077399999999995</v>
      </c>
      <c r="G32" s="66">
        <f t="shared" ref="G32:H32" si="25">F32*1.08</f>
        <v>5.3003591999999999</v>
      </c>
      <c r="H32" s="67">
        <f t="shared" si="25"/>
        <v>5.7243879360000003</v>
      </c>
    </row>
    <row r="33" spans="1:8" ht="12.75" thickBot="1" x14ac:dyDescent="0.25">
      <c r="A33" s="154"/>
      <c r="B33" s="68" t="s">
        <v>506</v>
      </c>
      <c r="C33" s="117" t="s">
        <v>507</v>
      </c>
      <c r="D33" s="69" t="s">
        <v>508</v>
      </c>
      <c r="E33" s="70">
        <v>200</v>
      </c>
      <c r="F33" s="71">
        <v>4.9077399999999995</v>
      </c>
      <c r="G33" s="71">
        <f t="shared" ref="G33:H39" si="26">F33*1.08</f>
        <v>5.3003591999999999</v>
      </c>
      <c r="H33" s="72">
        <f t="shared" si="26"/>
        <v>5.7243879360000003</v>
      </c>
    </row>
    <row r="34" spans="1:8" ht="12" customHeight="1" x14ac:dyDescent="0.2">
      <c r="A34" s="153" t="s">
        <v>617</v>
      </c>
      <c r="B34" s="63" t="s">
        <v>509</v>
      </c>
      <c r="C34" s="116" t="s">
        <v>510</v>
      </c>
      <c r="D34" s="64" t="s">
        <v>511</v>
      </c>
      <c r="E34" s="65">
        <v>200</v>
      </c>
      <c r="F34" s="66">
        <v>10.388409999999999</v>
      </c>
      <c r="G34" s="66">
        <f t="shared" si="26"/>
        <v>11.2194828</v>
      </c>
      <c r="H34" s="67">
        <f t="shared" si="26"/>
        <v>12.117041424</v>
      </c>
    </row>
    <row r="35" spans="1:8" x14ac:dyDescent="0.2">
      <c r="A35" s="154"/>
      <c r="B35" s="63" t="s">
        <v>512</v>
      </c>
      <c r="C35" s="116" t="s">
        <v>513</v>
      </c>
      <c r="D35" s="64" t="s">
        <v>514</v>
      </c>
      <c r="E35" s="65">
        <v>200</v>
      </c>
      <c r="F35" s="66">
        <v>10.388409999999999</v>
      </c>
      <c r="G35" s="66">
        <f t="shared" si="26"/>
        <v>11.2194828</v>
      </c>
      <c r="H35" s="67">
        <f t="shared" si="26"/>
        <v>12.117041424</v>
      </c>
    </row>
    <row r="36" spans="1:8" x14ac:dyDescent="0.2">
      <c r="A36" s="154"/>
      <c r="B36" s="63" t="s">
        <v>515</v>
      </c>
      <c r="C36" s="116" t="s">
        <v>516</v>
      </c>
      <c r="D36" s="64" t="s">
        <v>517</v>
      </c>
      <c r="E36" s="65">
        <v>200</v>
      </c>
      <c r="F36" s="66">
        <v>10.388409999999999</v>
      </c>
      <c r="G36" s="66">
        <f t="shared" si="26"/>
        <v>11.2194828</v>
      </c>
      <c r="H36" s="67">
        <f t="shared" si="26"/>
        <v>12.117041424</v>
      </c>
    </row>
    <row r="37" spans="1:8" x14ac:dyDescent="0.2">
      <c r="A37" s="154"/>
      <c r="B37" s="63" t="s">
        <v>518</v>
      </c>
      <c r="C37" s="116" t="s">
        <v>519</v>
      </c>
      <c r="D37" s="64" t="s">
        <v>520</v>
      </c>
      <c r="E37" s="65">
        <v>200</v>
      </c>
      <c r="F37" s="66">
        <v>10.388409999999999</v>
      </c>
      <c r="G37" s="66">
        <f t="shared" si="26"/>
        <v>11.2194828</v>
      </c>
      <c r="H37" s="67">
        <f t="shared" si="26"/>
        <v>12.117041424</v>
      </c>
    </row>
    <row r="38" spans="1:8" ht="12.75" thickBot="1" x14ac:dyDescent="0.25">
      <c r="A38" s="154"/>
      <c r="B38" s="68" t="s">
        <v>521</v>
      </c>
      <c r="C38" s="117" t="s">
        <v>522</v>
      </c>
      <c r="D38" s="69" t="s">
        <v>523</v>
      </c>
      <c r="E38" s="70">
        <v>200</v>
      </c>
      <c r="F38" s="71">
        <v>10.388409999999999</v>
      </c>
      <c r="G38" s="71">
        <f t="shared" si="26"/>
        <v>11.2194828</v>
      </c>
      <c r="H38" s="72">
        <f t="shared" si="26"/>
        <v>12.117041424</v>
      </c>
    </row>
    <row r="39" spans="1:8" ht="12" customHeight="1" x14ac:dyDescent="0.2">
      <c r="A39" s="150" t="s">
        <v>524</v>
      </c>
      <c r="B39" s="63" t="s">
        <v>525</v>
      </c>
      <c r="C39" s="116" t="s">
        <v>526</v>
      </c>
      <c r="D39" s="75" t="s">
        <v>527</v>
      </c>
      <c r="E39" s="65">
        <v>195</v>
      </c>
      <c r="F39" s="66">
        <v>11.18835</v>
      </c>
      <c r="G39" s="66">
        <f t="shared" si="26"/>
        <v>12.083418</v>
      </c>
      <c r="H39" s="67">
        <f t="shared" si="26"/>
        <v>13.050091440000001</v>
      </c>
    </row>
    <row r="40" spans="1:8" x14ac:dyDescent="0.2">
      <c r="A40" s="151"/>
      <c r="B40" s="63" t="s">
        <v>528</v>
      </c>
      <c r="C40" s="116" t="s">
        <v>529</v>
      </c>
      <c r="D40" s="75" t="s">
        <v>530</v>
      </c>
      <c r="E40" s="65">
        <v>117</v>
      </c>
      <c r="F40" s="66">
        <v>15.30696</v>
      </c>
      <c r="G40" s="66">
        <f t="shared" ref="G40:H40" si="27">F40*1.08</f>
        <v>16.531516800000002</v>
      </c>
      <c r="H40" s="67">
        <f t="shared" si="27"/>
        <v>17.854038144000004</v>
      </c>
    </row>
    <row r="41" spans="1:8" x14ac:dyDescent="0.2">
      <c r="A41" s="151"/>
      <c r="B41" s="63" t="s">
        <v>531</v>
      </c>
      <c r="C41" s="116" t="s">
        <v>532</v>
      </c>
      <c r="D41" s="75" t="s">
        <v>533</v>
      </c>
      <c r="E41" s="65">
        <v>350</v>
      </c>
      <c r="F41" s="66">
        <v>10.50732</v>
      </c>
      <c r="G41" s="66">
        <f t="shared" ref="G41:H41" si="28">F41*1.08</f>
        <v>11.347905600000001</v>
      </c>
      <c r="H41" s="67">
        <f t="shared" si="28"/>
        <v>12.255738048000001</v>
      </c>
    </row>
    <row r="42" spans="1:8" x14ac:dyDescent="0.2">
      <c r="A42" s="151"/>
      <c r="B42" s="63" t="s">
        <v>534</v>
      </c>
      <c r="C42" s="116" t="s">
        <v>535</v>
      </c>
      <c r="D42" s="75" t="s">
        <v>536</v>
      </c>
      <c r="E42" s="65">
        <v>350</v>
      </c>
      <c r="F42" s="66">
        <v>10.50732</v>
      </c>
      <c r="G42" s="66">
        <f t="shared" ref="G42:H42" si="29">F42*1.08</f>
        <v>11.347905600000001</v>
      </c>
      <c r="H42" s="67">
        <f t="shared" si="29"/>
        <v>12.255738048000001</v>
      </c>
    </row>
    <row r="43" spans="1:8" x14ac:dyDescent="0.2">
      <c r="A43" s="151"/>
      <c r="B43" s="63" t="s">
        <v>537</v>
      </c>
      <c r="C43" s="116" t="s">
        <v>538</v>
      </c>
      <c r="D43" s="75" t="s">
        <v>539</v>
      </c>
      <c r="E43" s="65">
        <v>192</v>
      </c>
      <c r="F43" s="66">
        <v>7.4264700000000001</v>
      </c>
      <c r="G43" s="66">
        <f t="shared" ref="G43:H43" si="30">F43*1.08</f>
        <v>8.0205876000000007</v>
      </c>
      <c r="H43" s="67">
        <f t="shared" si="30"/>
        <v>8.6622346080000021</v>
      </c>
    </row>
    <row r="44" spans="1:8" x14ac:dyDescent="0.2">
      <c r="A44" s="151"/>
      <c r="B44" s="63" t="s">
        <v>540</v>
      </c>
      <c r="C44" s="116" t="s">
        <v>541</v>
      </c>
      <c r="D44" s="75" t="s">
        <v>542</v>
      </c>
      <c r="E44" s="65">
        <v>288</v>
      </c>
      <c r="F44" s="66">
        <v>4.9077399999999995</v>
      </c>
      <c r="G44" s="66">
        <f t="shared" ref="G44:H44" si="31">F44*1.08</f>
        <v>5.3003591999999999</v>
      </c>
      <c r="H44" s="67">
        <f t="shared" si="31"/>
        <v>5.7243879360000003</v>
      </c>
    </row>
    <row r="45" spans="1:8" x14ac:dyDescent="0.2">
      <c r="A45" s="151"/>
      <c r="B45" s="63" t="s">
        <v>543</v>
      </c>
      <c r="C45" s="116" t="s">
        <v>544</v>
      </c>
      <c r="D45" s="75" t="s">
        <v>545</v>
      </c>
      <c r="E45" s="65">
        <v>192</v>
      </c>
      <c r="F45" s="66">
        <v>9.026349999999999</v>
      </c>
      <c r="G45" s="66">
        <f t="shared" ref="G45:H45" si="32">F45*1.08</f>
        <v>9.7484579999999994</v>
      </c>
      <c r="H45" s="67">
        <f t="shared" si="32"/>
        <v>10.528334640000001</v>
      </c>
    </row>
    <row r="46" spans="1:8" x14ac:dyDescent="0.2">
      <c r="A46" s="151"/>
      <c r="B46" s="63" t="s">
        <v>546</v>
      </c>
      <c r="C46" s="116" t="s">
        <v>547</v>
      </c>
      <c r="D46" s="75" t="s">
        <v>548</v>
      </c>
      <c r="E46" s="65">
        <v>288</v>
      </c>
      <c r="F46" s="66">
        <v>8.2264099999999996</v>
      </c>
      <c r="G46" s="66">
        <f t="shared" ref="G46:H46" si="33">F46*1.08</f>
        <v>8.8845228000000009</v>
      </c>
      <c r="H46" s="67">
        <f t="shared" si="33"/>
        <v>9.5952846240000014</v>
      </c>
    </row>
    <row r="47" spans="1:8" x14ac:dyDescent="0.2">
      <c r="A47" s="151"/>
      <c r="B47" s="63" t="s">
        <v>549</v>
      </c>
      <c r="C47" s="116" t="s">
        <v>550</v>
      </c>
      <c r="D47" s="75" t="s">
        <v>551</v>
      </c>
      <c r="E47" s="65">
        <v>100</v>
      </c>
      <c r="F47" s="66">
        <v>1.0269499999999998</v>
      </c>
      <c r="G47" s="66">
        <f t="shared" ref="G47:H47" si="34">F47*1.08</f>
        <v>1.1091059999999999</v>
      </c>
      <c r="H47" s="67">
        <f t="shared" si="34"/>
        <v>1.19783448</v>
      </c>
    </row>
    <row r="48" spans="1:8" x14ac:dyDescent="0.2">
      <c r="A48" s="151"/>
      <c r="B48" s="63" t="s">
        <v>552</v>
      </c>
      <c r="C48" s="116" t="s">
        <v>553</v>
      </c>
      <c r="D48" s="75" t="s">
        <v>554</v>
      </c>
      <c r="E48" s="65">
        <v>100</v>
      </c>
      <c r="F48" s="66">
        <v>1.0269499999999998</v>
      </c>
      <c r="G48" s="66">
        <f t="shared" ref="G48:H48" si="35">F48*1.08</f>
        <v>1.1091059999999999</v>
      </c>
      <c r="H48" s="67">
        <f t="shared" si="35"/>
        <v>1.19783448</v>
      </c>
    </row>
    <row r="49" spans="1:8" x14ac:dyDescent="0.2">
      <c r="A49" s="151"/>
      <c r="B49" s="63" t="s">
        <v>555</v>
      </c>
      <c r="C49" s="116" t="s">
        <v>556</v>
      </c>
      <c r="D49" s="75" t="s">
        <v>557</v>
      </c>
      <c r="E49" s="65">
        <v>100</v>
      </c>
      <c r="F49" s="66">
        <v>1.1458600000000001</v>
      </c>
      <c r="G49" s="66">
        <f t="shared" ref="G49:H49" si="36">F49*1.08</f>
        <v>1.2375288000000002</v>
      </c>
      <c r="H49" s="67">
        <f t="shared" si="36"/>
        <v>1.3365311040000003</v>
      </c>
    </row>
    <row r="50" spans="1:8" x14ac:dyDescent="0.2">
      <c r="A50" s="151"/>
      <c r="B50" s="63" t="s">
        <v>558</v>
      </c>
      <c r="C50" s="116" t="s">
        <v>559</v>
      </c>
      <c r="D50" s="75" t="s">
        <v>560</v>
      </c>
      <c r="E50" s="65">
        <v>100</v>
      </c>
      <c r="F50" s="66">
        <v>1.1458600000000001</v>
      </c>
      <c r="G50" s="66">
        <f t="shared" ref="G50:H50" si="37">F50*1.08</f>
        <v>1.2375288000000002</v>
      </c>
      <c r="H50" s="67">
        <f t="shared" si="37"/>
        <v>1.3365311040000003</v>
      </c>
    </row>
    <row r="51" spans="1:8" x14ac:dyDescent="0.2">
      <c r="A51" s="151"/>
      <c r="B51" s="76">
        <v>507285</v>
      </c>
      <c r="C51" s="118" t="s">
        <v>561</v>
      </c>
      <c r="D51" s="77" t="s">
        <v>562</v>
      </c>
      <c r="E51" s="78">
        <v>144</v>
      </c>
      <c r="F51" s="79">
        <v>21.13355</v>
      </c>
      <c r="G51" s="66">
        <f t="shared" ref="G51:H51" si="38">F51*1.08</f>
        <v>22.824234000000001</v>
      </c>
      <c r="H51" s="67">
        <f t="shared" si="38"/>
        <v>24.65017272</v>
      </c>
    </row>
    <row r="52" spans="1:8" x14ac:dyDescent="0.2">
      <c r="A52" s="151"/>
      <c r="B52" s="76">
        <v>517382</v>
      </c>
      <c r="C52" s="118" t="s">
        <v>563</v>
      </c>
      <c r="D52" s="77" t="s">
        <v>564</v>
      </c>
      <c r="E52" s="78">
        <v>144</v>
      </c>
      <c r="F52" s="79">
        <v>21.13355</v>
      </c>
      <c r="G52" s="66">
        <f t="shared" ref="G52:H52" si="39">F52*1.08</f>
        <v>22.824234000000001</v>
      </c>
      <c r="H52" s="67">
        <f t="shared" si="39"/>
        <v>24.65017272</v>
      </c>
    </row>
    <row r="53" spans="1:8" x14ac:dyDescent="0.2">
      <c r="A53" s="151"/>
      <c r="B53" s="76">
        <v>521927</v>
      </c>
      <c r="C53" s="118" t="s">
        <v>565</v>
      </c>
      <c r="D53" s="77" t="s">
        <v>566</v>
      </c>
      <c r="E53" s="78">
        <v>75</v>
      </c>
      <c r="F53" s="74">
        <v>18.225659999999998</v>
      </c>
      <c r="G53" s="66">
        <f t="shared" ref="G53:H53" si="40">F53*1.08</f>
        <v>19.683712799999999</v>
      </c>
      <c r="H53" s="67">
        <f t="shared" si="40"/>
        <v>21.258409824000001</v>
      </c>
    </row>
    <row r="54" spans="1:8" x14ac:dyDescent="0.2">
      <c r="A54" s="151"/>
      <c r="B54" s="63">
        <v>223251</v>
      </c>
      <c r="C54" s="119" t="s">
        <v>567</v>
      </c>
      <c r="D54" s="80" t="s">
        <v>568</v>
      </c>
      <c r="E54" s="65">
        <v>56</v>
      </c>
      <c r="F54" s="66">
        <v>27.024999999999999</v>
      </c>
      <c r="G54" s="66">
        <f t="shared" ref="G54:H54" si="41">F54*1.08</f>
        <v>29.187000000000001</v>
      </c>
      <c r="H54" s="67">
        <f t="shared" si="41"/>
        <v>31.521960000000004</v>
      </c>
    </row>
    <row r="55" spans="1:8" x14ac:dyDescent="0.2">
      <c r="A55" s="151"/>
      <c r="B55" s="81">
        <v>205007</v>
      </c>
      <c r="C55" s="118" t="s">
        <v>569</v>
      </c>
      <c r="D55" s="77" t="s">
        <v>570</v>
      </c>
      <c r="E55" s="78">
        <v>56</v>
      </c>
      <c r="F55" s="82">
        <v>6.5940999999999992</v>
      </c>
      <c r="G55" s="66">
        <f t="shared" ref="G55:H55" si="42">F55*1.08</f>
        <v>7.1216279999999994</v>
      </c>
      <c r="H55" s="67">
        <f t="shared" si="42"/>
        <v>7.6913582399999996</v>
      </c>
    </row>
    <row r="56" spans="1:8" x14ac:dyDescent="0.2">
      <c r="A56" s="151"/>
      <c r="B56" s="83">
        <v>523050</v>
      </c>
      <c r="C56" s="118" t="s">
        <v>571</v>
      </c>
      <c r="D56" s="77" t="s">
        <v>572</v>
      </c>
      <c r="E56" s="78">
        <v>117</v>
      </c>
      <c r="F56" s="84">
        <v>13.76113</v>
      </c>
      <c r="G56" s="66">
        <f t="shared" ref="G56:H56" si="43">F56*1.08</f>
        <v>14.8620204</v>
      </c>
      <c r="H56" s="67">
        <f t="shared" si="43"/>
        <v>16.050982032</v>
      </c>
    </row>
    <row r="57" spans="1:8" x14ac:dyDescent="0.2">
      <c r="A57" s="151"/>
      <c r="B57" s="83">
        <v>523053</v>
      </c>
      <c r="C57" s="118" t="s">
        <v>573</v>
      </c>
      <c r="D57" s="85" t="s">
        <v>574</v>
      </c>
      <c r="E57" s="86">
        <v>195</v>
      </c>
      <c r="F57" s="82">
        <v>10.0533</v>
      </c>
      <c r="G57" s="66">
        <f t="shared" ref="G57:H57" si="44">F57*1.08</f>
        <v>10.857564</v>
      </c>
      <c r="H57" s="67">
        <f t="shared" si="44"/>
        <v>11.726169120000002</v>
      </c>
    </row>
    <row r="58" spans="1:8" x14ac:dyDescent="0.2">
      <c r="A58" s="151"/>
      <c r="B58" s="83">
        <v>525751</v>
      </c>
      <c r="C58" s="118" t="s">
        <v>575</v>
      </c>
      <c r="D58" s="77" t="s">
        <v>576</v>
      </c>
      <c r="E58" s="86">
        <v>45</v>
      </c>
      <c r="F58" s="82">
        <v>20.538999999999998</v>
      </c>
      <c r="G58" s="66">
        <f t="shared" ref="G58:H58" si="45">F58*1.08</f>
        <v>22.182119999999998</v>
      </c>
      <c r="H58" s="67">
        <f t="shared" si="45"/>
        <v>23.956689600000001</v>
      </c>
    </row>
    <row r="59" spans="1:8" x14ac:dyDescent="0.2">
      <c r="A59" s="151"/>
      <c r="B59" s="83">
        <v>525789</v>
      </c>
      <c r="C59" s="118" t="s">
        <v>577</v>
      </c>
      <c r="D59" s="87" t="s">
        <v>578</v>
      </c>
      <c r="E59" s="86">
        <v>55</v>
      </c>
      <c r="F59" s="82">
        <v>18.279709999999998</v>
      </c>
      <c r="G59" s="66">
        <f t="shared" ref="G59:H59" si="46">F59*1.08</f>
        <v>19.742086799999999</v>
      </c>
      <c r="H59" s="67">
        <f t="shared" si="46"/>
        <v>21.321453743999999</v>
      </c>
    </row>
    <row r="60" spans="1:8" x14ac:dyDescent="0.2">
      <c r="A60" s="151"/>
      <c r="B60" s="83">
        <v>506629</v>
      </c>
      <c r="C60" s="118" t="s">
        <v>579</v>
      </c>
      <c r="D60" s="77" t="s">
        <v>580</v>
      </c>
      <c r="E60" s="88">
        <v>300</v>
      </c>
      <c r="F60" s="82">
        <v>3.5889199999999999</v>
      </c>
      <c r="G60" s="66">
        <f t="shared" ref="G60:H60" si="47">F60*1.08</f>
        <v>3.8760336</v>
      </c>
      <c r="H60" s="67">
        <f t="shared" si="47"/>
        <v>4.186116288</v>
      </c>
    </row>
    <row r="61" spans="1:8" x14ac:dyDescent="0.2">
      <c r="A61" s="151"/>
      <c r="B61" s="83">
        <v>519967</v>
      </c>
      <c r="C61" s="118" t="s">
        <v>581</v>
      </c>
      <c r="D61" s="87" t="s">
        <v>582</v>
      </c>
      <c r="E61" s="86">
        <v>300</v>
      </c>
      <c r="F61" s="82">
        <v>3.5889199999999999</v>
      </c>
      <c r="G61" s="66">
        <f t="shared" ref="G61:H61" si="48">F61*1.08</f>
        <v>3.8760336</v>
      </c>
      <c r="H61" s="67">
        <f t="shared" si="48"/>
        <v>4.186116288</v>
      </c>
    </row>
    <row r="62" spans="1:8" x14ac:dyDescent="0.2">
      <c r="A62" s="151"/>
      <c r="B62" s="83">
        <v>505445</v>
      </c>
      <c r="C62" s="118" t="s">
        <v>583</v>
      </c>
      <c r="D62" s="77" t="s">
        <v>584</v>
      </c>
      <c r="E62" s="86">
        <v>300</v>
      </c>
      <c r="F62" s="82">
        <v>5.0807000000000002</v>
      </c>
      <c r="G62" s="66">
        <f t="shared" ref="G62:H62" si="49">F62*1.08</f>
        <v>5.4871560000000006</v>
      </c>
      <c r="H62" s="67">
        <f t="shared" si="49"/>
        <v>5.9261284800000009</v>
      </c>
    </row>
    <row r="63" spans="1:8" x14ac:dyDescent="0.2">
      <c r="A63" s="151"/>
      <c r="B63" s="83">
        <v>518978</v>
      </c>
      <c r="C63" s="118" t="s">
        <v>585</v>
      </c>
      <c r="D63" s="87" t="s">
        <v>586</v>
      </c>
      <c r="E63" s="86">
        <v>300</v>
      </c>
      <c r="F63" s="82">
        <v>2.9295100000000001</v>
      </c>
      <c r="G63" s="66">
        <f t="shared" ref="G63:H63" si="50">F63*1.08</f>
        <v>3.1638708000000002</v>
      </c>
      <c r="H63" s="67">
        <f t="shared" si="50"/>
        <v>3.4169804640000003</v>
      </c>
    </row>
    <row r="64" spans="1:8" x14ac:dyDescent="0.2">
      <c r="A64" s="151"/>
      <c r="B64" s="83">
        <v>515398</v>
      </c>
      <c r="C64" s="119" t="s">
        <v>587</v>
      </c>
      <c r="D64" s="86" t="s">
        <v>588</v>
      </c>
      <c r="E64" s="86">
        <v>325</v>
      </c>
      <c r="F64" s="82">
        <v>2.9295100000000001</v>
      </c>
      <c r="G64" s="66">
        <f t="shared" ref="G64:H64" si="51">F64*1.08</f>
        <v>3.1638708000000002</v>
      </c>
      <c r="H64" s="67">
        <f t="shared" si="51"/>
        <v>3.4169804640000003</v>
      </c>
    </row>
    <row r="65" spans="1:8" x14ac:dyDescent="0.2">
      <c r="A65" s="151"/>
      <c r="B65" s="83">
        <v>520633</v>
      </c>
      <c r="C65" s="119" t="s">
        <v>589</v>
      </c>
      <c r="D65" s="86" t="s">
        <v>590</v>
      </c>
      <c r="E65" s="86">
        <v>300</v>
      </c>
      <c r="F65" s="82">
        <v>3.5889199999999999</v>
      </c>
      <c r="G65" s="66">
        <f t="shared" ref="G65:H65" si="52">F65*1.08</f>
        <v>3.8760336</v>
      </c>
      <c r="H65" s="67">
        <f t="shared" si="52"/>
        <v>4.186116288</v>
      </c>
    </row>
    <row r="66" spans="1:8" x14ac:dyDescent="0.2">
      <c r="A66" s="151"/>
      <c r="B66" s="83">
        <v>522801</v>
      </c>
      <c r="C66" s="119" t="s">
        <v>591</v>
      </c>
      <c r="D66" s="86" t="s">
        <v>592</v>
      </c>
      <c r="E66" s="86">
        <v>200</v>
      </c>
      <c r="F66" s="82">
        <v>5.0807000000000002</v>
      </c>
      <c r="G66" s="66">
        <f t="shared" ref="G66:H66" si="53">F66*1.08</f>
        <v>5.4871560000000006</v>
      </c>
      <c r="H66" s="67">
        <f t="shared" si="53"/>
        <v>5.9261284800000009</v>
      </c>
    </row>
    <row r="67" spans="1:8" x14ac:dyDescent="0.2">
      <c r="A67" s="151"/>
      <c r="B67" s="83">
        <v>524152</v>
      </c>
      <c r="C67" s="120" t="s">
        <v>593</v>
      </c>
      <c r="D67" s="86" t="s">
        <v>594</v>
      </c>
      <c r="E67" s="86">
        <v>198</v>
      </c>
      <c r="F67" s="82">
        <v>4.4320999999999993</v>
      </c>
      <c r="G67" s="66">
        <f t="shared" ref="G67:H67" si="54">F67*1.08</f>
        <v>4.7866679999999997</v>
      </c>
      <c r="H67" s="67">
        <f t="shared" si="54"/>
        <v>5.1696014400000001</v>
      </c>
    </row>
    <row r="68" spans="1:8" x14ac:dyDescent="0.2">
      <c r="A68" s="151"/>
      <c r="B68" s="83">
        <v>524573</v>
      </c>
      <c r="C68" s="118" t="s">
        <v>595</v>
      </c>
      <c r="D68" s="87" t="s">
        <v>596</v>
      </c>
      <c r="E68" s="86">
        <v>180</v>
      </c>
      <c r="F68" s="82">
        <v>3.5889199999999999</v>
      </c>
      <c r="G68" s="66">
        <f t="shared" ref="G68:H68" si="55">F68*1.08</f>
        <v>3.8760336</v>
      </c>
      <c r="H68" s="67">
        <f t="shared" si="55"/>
        <v>4.186116288</v>
      </c>
    </row>
    <row r="69" spans="1:8" x14ac:dyDescent="0.2">
      <c r="A69" s="151"/>
      <c r="B69" s="83">
        <v>228133</v>
      </c>
      <c r="C69" s="118">
        <v>228133</v>
      </c>
      <c r="D69" s="87" t="s">
        <v>597</v>
      </c>
      <c r="E69" s="86">
        <v>300</v>
      </c>
      <c r="F69" s="82">
        <v>4.3348100000000001</v>
      </c>
      <c r="G69" s="66">
        <f t="shared" ref="G69:H69" si="56">F69*1.08</f>
        <v>4.6815948000000001</v>
      </c>
      <c r="H69" s="67">
        <f t="shared" si="56"/>
        <v>5.056122384</v>
      </c>
    </row>
    <row r="70" spans="1:8" x14ac:dyDescent="0.2">
      <c r="A70" s="151"/>
      <c r="B70" s="83">
        <v>517382</v>
      </c>
      <c r="C70" s="118" t="s">
        <v>563</v>
      </c>
      <c r="D70" s="87" t="s">
        <v>564</v>
      </c>
      <c r="E70" s="86">
        <v>144</v>
      </c>
      <c r="F70" s="82">
        <v>17.252759999999999</v>
      </c>
      <c r="G70" s="66">
        <f t="shared" ref="G70:H70" si="57">F70*1.08</f>
        <v>18.632980799999999</v>
      </c>
      <c r="H70" s="67">
        <f t="shared" si="57"/>
        <v>20.123619263999998</v>
      </c>
    </row>
    <row r="71" spans="1:8" x14ac:dyDescent="0.2">
      <c r="A71" s="151"/>
      <c r="B71" s="83">
        <v>519943</v>
      </c>
      <c r="C71" s="119" t="s">
        <v>598</v>
      </c>
      <c r="D71" s="86" t="s">
        <v>599</v>
      </c>
      <c r="E71" s="86">
        <v>200</v>
      </c>
      <c r="F71" s="82">
        <v>9.8370999999999995</v>
      </c>
      <c r="G71" s="66">
        <f t="shared" ref="G71:H71" si="58">F71*1.08</f>
        <v>10.624067999999999</v>
      </c>
      <c r="H71" s="67">
        <f t="shared" si="58"/>
        <v>11.473993440000001</v>
      </c>
    </row>
    <row r="72" spans="1:8" x14ac:dyDescent="0.2">
      <c r="A72" s="151"/>
      <c r="B72" s="83">
        <v>525372</v>
      </c>
      <c r="C72" s="119" t="s">
        <v>600</v>
      </c>
      <c r="D72" s="89" t="s">
        <v>601</v>
      </c>
      <c r="E72" s="86">
        <v>200</v>
      </c>
      <c r="F72" s="82">
        <v>9.8370999999999995</v>
      </c>
      <c r="G72" s="66">
        <f t="shared" ref="G72:H72" si="59">F72*1.08</f>
        <v>10.624067999999999</v>
      </c>
      <c r="H72" s="67">
        <f t="shared" si="59"/>
        <v>11.473993440000001</v>
      </c>
    </row>
    <row r="73" spans="1:8" x14ac:dyDescent="0.2">
      <c r="A73" s="151"/>
      <c r="B73" s="83">
        <v>52554</v>
      </c>
      <c r="C73" s="118" t="s">
        <v>602</v>
      </c>
      <c r="D73" s="77" t="s">
        <v>603</v>
      </c>
      <c r="E73" s="86">
        <v>200</v>
      </c>
      <c r="F73" s="82">
        <v>7.3183699999999989</v>
      </c>
      <c r="G73" s="66">
        <f t="shared" ref="G73:H73" si="60">F73*1.08</f>
        <v>7.9038395999999995</v>
      </c>
      <c r="H73" s="67">
        <f t="shared" si="60"/>
        <v>8.5361467680000001</v>
      </c>
    </row>
    <row r="74" spans="1:8" x14ac:dyDescent="0.2">
      <c r="A74" s="151"/>
      <c r="B74" s="83">
        <v>523345</v>
      </c>
      <c r="C74" s="119" t="s">
        <v>604</v>
      </c>
      <c r="D74" s="86" t="s">
        <v>605</v>
      </c>
      <c r="E74" s="86">
        <v>200</v>
      </c>
      <c r="F74" s="82">
        <v>9.8370999999999995</v>
      </c>
      <c r="G74" s="66">
        <f t="shared" ref="G74:H74" si="61">F74*1.08</f>
        <v>10.624067999999999</v>
      </c>
      <c r="H74" s="67">
        <f t="shared" si="61"/>
        <v>11.473993440000001</v>
      </c>
    </row>
    <row r="75" spans="1:8" x14ac:dyDescent="0.2">
      <c r="A75" s="151"/>
      <c r="B75" s="83">
        <v>523346</v>
      </c>
      <c r="C75" s="119" t="s">
        <v>606</v>
      </c>
      <c r="D75" s="90" t="s">
        <v>607</v>
      </c>
      <c r="E75" s="86">
        <v>200</v>
      </c>
      <c r="F75" s="82">
        <v>9.8370999999999995</v>
      </c>
      <c r="G75" s="66">
        <f t="shared" ref="G75:H75" si="62">F75*1.08</f>
        <v>10.624067999999999</v>
      </c>
      <c r="H75" s="67">
        <f t="shared" si="62"/>
        <v>11.473993440000001</v>
      </c>
    </row>
    <row r="76" spans="1:8" x14ac:dyDescent="0.2">
      <c r="A76" s="151"/>
      <c r="B76" s="83">
        <v>523347</v>
      </c>
      <c r="C76" s="118" t="s">
        <v>608</v>
      </c>
      <c r="D76" s="87" t="s">
        <v>609</v>
      </c>
      <c r="E76" s="86">
        <v>200</v>
      </c>
      <c r="F76" s="82">
        <v>9.8370999999999995</v>
      </c>
      <c r="G76" s="66">
        <f t="shared" ref="G76:H76" si="63">F76*1.08</f>
        <v>10.624067999999999</v>
      </c>
      <c r="H76" s="67">
        <f t="shared" si="63"/>
        <v>11.473993440000001</v>
      </c>
    </row>
    <row r="77" spans="1:8" x14ac:dyDescent="0.2">
      <c r="A77" s="151"/>
      <c r="B77" s="83">
        <v>524713</v>
      </c>
      <c r="C77" s="119" t="s">
        <v>610</v>
      </c>
      <c r="D77" s="86" t="s">
        <v>611</v>
      </c>
      <c r="E77" s="86">
        <v>250</v>
      </c>
      <c r="F77" s="82">
        <v>9.8370999999999995</v>
      </c>
      <c r="G77" s="66">
        <f t="shared" ref="G77:H77" si="64">F77*1.08</f>
        <v>10.624067999999999</v>
      </c>
      <c r="H77" s="67">
        <f t="shared" si="64"/>
        <v>11.473993440000001</v>
      </c>
    </row>
    <row r="78" spans="1:8" ht="12.75" thickBot="1" x14ac:dyDescent="0.25">
      <c r="A78" s="152"/>
      <c r="B78" s="91">
        <v>525286</v>
      </c>
      <c r="C78" s="121" t="s">
        <v>612</v>
      </c>
      <c r="D78" s="92" t="s">
        <v>613</v>
      </c>
      <c r="E78" s="92">
        <v>200</v>
      </c>
      <c r="F78" s="93">
        <v>9.8370999999999995</v>
      </c>
      <c r="G78" s="71">
        <f t="shared" ref="G78:H78" si="65">F78*1.08</f>
        <v>10.624067999999999</v>
      </c>
      <c r="H78" s="72">
        <f t="shared" si="65"/>
        <v>11.473993440000001</v>
      </c>
    </row>
  </sheetData>
  <mergeCells count="6">
    <mergeCell ref="A20:A33"/>
    <mergeCell ref="A34:A38"/>
    <mergeCell ref="A39:A78"/>
    <mergeCell ref="F1:H1"/>
    <mergeCell ref="A3:A13"/>
    <mergeCell ref="A14:A19"/>
  </mergeCells>
  <pageMargins left="0.51181102362204722" right="0.51181102362204722" top="0.78740157480314965" bottom="0.78740157480314965" header="0.31496062992125984" footer="0.31496062992125984"/>
  <pageSetup paperSize="9" scale="7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3</vt:i4>
      </vt:variant>
    </vt:vector>
  </HeadingPairs>
  <TitlesOfParts>
    <vt:vector size="6" baseType="lpstr">
      <vt:lpstr>REGULADORES</vt:lpstr>
      <vt:lpstr>CONDULETES</vt:lpstr>
      <vt:lpstr>REGISTROS</vt:lpstr>
      <vt:lpstr>CONDULETES!Area_de_impressao</vt:lpstr>
      <vt:lpstr>REGISTROS!Area_de_impressao</vt:lpstr>
      <vt:lpstr>REGULADORES!Area_de_impressao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Mingone</dc:creator>
  <cp:lastModifiedBy>Denis Mingone</cp:lastModifiedBy>
  <cp:lastPrinted>2024-11-28T11:51:24Z</cp:lastPrinted>
  <dcterms:created xsi:type="dcterms:W3CDTF">2024-11-28T11:15:40Z</dcterms:created>
  <dcterms:modified xsi:type="dcterms:W3CDTF">2025-01-31T20:17:57Z</dcterms:modified>
</cp:coreProperties>
</file>