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workbookProtection workbookPassword="8871" lockStructure="1"/>
  <bookViews>
    <workbookView xWindow="240" yWindow="60" windowWidth="19410" windowHeight="7950" activeTab="1"/>
  </bookViews>
  <sheets>
    <sheet name="Modelo 17% " sheetId="8" r:id="rId1"/>
    <sheet name="Modelo 12%" sheetId="9" r:id="rId2"/>
    <sheet name="Modelo 7%" sheetId="10" r:id="rId3"/>
  </sheets>
  <definedNames>
    <definedName name="_xlnm.Print_Titles" localSheetId="2">'Modelo 7%'!$1:$3</definedName>
  </definedNames>
  <calcPr calcId="144525"/>
</workbook>
</file>

<file path=xl/calcChain.xml><?xml version="1.0" encoding="utf-8"?>
<calcChain xmlns="http://schemas.openxmlformats.org/spreadsheetml/2006/main">
  <c r="K119" i="9" l="1"/>
  <c r="L119" i="9"/>
  <c r="I119" i="9"/>
  <c r="H119" i="9"/>
  <c r="K108" i="9"/>
  <c r="L108" i="9"/>
  <c r="K107" i="9"/>
  <c r="L107" i="9"/>
  <c r="K106" i="9"/>
  <c r="L106" i="9"/>
  <c r="K105" i="9"/>
  <c r="L105" i="9"/>
  <c r="K104" i="9"/>
  <c r="L104" i="9"/>
  <c r="K103" i="9"/>
  <c r="L103" i="9"/>
  <c r="K102" i="9"/>
  <c r="L102" i="9"/>
  <c r="I108" i="9"/>
  <c r="I107" i="9"/>
  <c r="I106" i="9"/>
  <c r="I105" i="9"/>
  <c r="I104" i="9"/>
  <c r="I103" i="9"/>
  <c r="I102" i="9"/>
  <c r="H108" i="9"/>
  <c r="H107" i="9"/>
  <c r="H106" i="9"/>
  <c r="H105" i="9"/>
  <c r="H104" i="9"/>
  <c r="H103" i="9"/>
  <c r="H102" i="9"/>
  <c r="K65" i="9"/>
  <c r="L65" i="9"/>
  <c r="I65" i="9"/>
  <c r="H65" i="9"/>
  <c r="K64" i="9"/>
  <c r="L64" i="9"/>
  <c r="I64" i="9"/>
  <c r="H64" i="9"/>
  <c r="K63" i="9"/>
  <c r="L63" i="9"/>
  <c r="I63" i="9"/>
  <c r="H63" i="9"/>
  <c r="K40" i="9"/>
  <c r="L40" i="9"/>
  <c r="I40" i="9"/>
  <c r="H40" i="9"/>
  <c r="K26" i="9"/>
  <c r="L26" i="9"/>
  <c r="I26" i="9"/>
  <c r="H26" i="9"/>
  <c r="G103" i="10" l="1"/>
  <c r="G18" i="10"/>
  <c r="G17" i="10"/>
  <c r="G16" i="10"/>
  <c r="G59" i="10"/>
  <c r="G58" i="10"/>
  <c r="G57" i="10"/>
  <c r="G56" i="10"/>
  <c r="G4" i="10"/>
  <c r="G5" i="10"/>
  <c r="G6" i="10"/>
  <c r="G7" i="10"/>
  <c r="G8" i="10"/>
  <c r="G9" i="10"/>
  <c r="G10" i="10"/>
  <c r="G11" i="10"/>
  <c r="G12" i="10"/>
  <c r="G13" i="10"/>
  <c r="G14" i="10"/>
  <c r="G15" i="10"/>
  <c r="L61" i="9"/>
  <c r="K61" i="9"/>
  <c r="I61" i="9"/>
  <c r="H61" i="9"/>
  <c r="L60" i="9"/>
  <c r="K60" i="9"/>
  <c r="I60" i="9"/>
  <c r="H60" i="9"/>
  <c r="L59" i="9"/>
  <c r="K59" i="9"/>
  <c r="I59" i="9"/>
  <c r="H59" i="9"/>
  <c r="L53" i="9"/>
  <c r="K53" i="9"/>
  <c r="I53" i="9"/>
  <c r="H53" i="9"/>
  <c r="L52" i="9"/>
  <c r="K52" i="9"/>
  <c r="I52" i="9"/>
  <c r="H52" i="9"/>
  <c r="L51" i="9"/>
  <c r="K51" i="9"/>
  <c r="I51" i="9"/>
  <c r="H51" i="9"/>
  <c r="L50" i="9"/>
  <c r="K50" i="9"/>
  <c r="I50" i="9"/>
  <c r="H50" i="9"/>
  <c r="L49" i="9"/>
  <c r="K49" i="9"/>
  <c r="I49" i="9"/>
  <c r="H49" i="9"/>
  <c r="L116" i="9"/>
  <c r="K116" i="9"/>
  <c r="I116" i="9"/>
  <c r="H116" i="9"/>
  <c r="L62" i="8"/>
  <c r="K62" i="8"/>
  <c r="I62" i="8"/>
  <c r="H62" i="8"/>
  <c r="L25" i="8" l="1"/>
  <c r="K25" i="8"/>
  <c r="I25" i="8"/>
  <c r="H25" i="8"/>
  <c r="L24" i="8"/>
  <c r="K24" i="8"/>
  <c r="I24" i="8"/>
  <c r="H24" i="8"/>
  <c r="L23" i="8"/>
  <c r="K23" i="8"/>
  <c r="I23" i="8"/>
  <c r="H23" i="8"/>
  <c r="L22" i="8"/>
  <c r="K22" i="8"/>
  <c r="I22" i="8"/>
  <c r="H22" i="8"/>
  <c r="L21" i="8"/>
  <c r="K21" i="8"/>
  <c r="I21" i="8"/>
  <c r="H21" i="8"/>
  <c r="L59" i="8"/>
  <c r="K59" i="8"/>
  <c r="I59" i="8"/>
  <c r="H59" i="8"/>
  <c r="L58" i="8"/>
  <c r="K58" i="8"/>
  <c r="I58" i="8"/>
  <c r="H58" i="8"/>
  <c r="L57" i="8"/>
  <c r="K57" i="8"/>
  <c r="I57" i="8"/>
  <c r="H57" i="8"/>
  <c r="L16" i="8"/>
  <c r="K16" i="8"/>
  <c r="I16" i="8"/>
  <c r="H16" i="8"/>
  <c r="L104" i="8" l="1"/>
  <c r="K104" i="8"/>
  <c r="I104" i="8"/>
  <c r="H104" i="8"/>
  <c r="G20" i="10" l="1"/>
  <c r="L20" i="9"/>
  <c r="K20" i="9"/>
  <c r="I20" i="9"/>
  <c r="H20" i="9"/>
  <c r="L8" i="9"/>
  <c r="K8" i="9"/>
  <c r="I8" i="9"/>
  <c r="H8" i="9"/>
  <c r="L8" i="8" l="1"/>
  <c r="K8" i="8"/>
  <c r="I8" i="8"/>
  <c r="H8" i="8"/>
  <c r="L20" i="8"/>
  <c r="K20" i="8"/>
  <c r="I20" i="8"/>
  <c r="H20" i="8"/>
  <c r="G19" i="10" l="1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60" i="10"/>
  <c r="G61" i="10"/>
  <c r="G62" i="10"/>
  <c r="G63" i="10"/>
  <c r="G65" i="10"/>
  <c r="G66" i="10"/>
  <c r="G67" i="10"/>
  <c r="G68" i="10"/>
  <c r="G69" i="10"/>
  <c r="G70" i="10"/>
  <c r="G71" i="10"/>
  <c r="G72" i="10"/>
  <c r="G73" i="10"/>
  <c r="G74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4" i="10"/>
  <c r="G105" i="10"/>
  <c r="G106" i="10"/>
  <c r="L5" i="9" l="1"/>
  <c r="L6" i="9"/>
  <c r="L7" i="9"/>
  <c r="L9" i="9"/>
  <c r="L10" i="9"/>
  <c r="L11" i="9"/>
  <c r="L12" i="9"/>
  <c r="L13" i="9"/>
  <c r="L14" i="9"/>
  <c r="L15" i="9"/>
  <c r="L16" i="9"/>
  <c r="L17" i="9"/>
  <c r="L18" i="9"/>
  <c r="L19" i="9"/>
  <c r="L21" i="9"/>
  <c r="L22" i="9"/>
  <c r="L23" i="9"/>
  <c r="L24" i="9"/>
  <c r="L25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1" i="9"/>
  <c r="L42" i="9"/>
  <c r="L43" i="9"/>
  <c r="L44" i="9"/>
  <c r="L45" i="9"/>
  <c r="L46" i="9"/>
  <c r="L47" i="9"/>
  <c r="L48" i="9"/>
  <c r="L54" i="9"/>
  <c r="L55" i="9"/>
  <c r="L56" i="9"/>
  <c r="L57" i="9"/>
  <c r="L58" i="9"/>
  <c r="L62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9" i="9"/>
  <c r="L110" i="9"/>
  <c r="L111" i="9"/>
  <c r="L112" i="9"/>
  <c r="L113" i="9"/>
  <c r="L114" i="9"/>
  <c r="L115" i="9"/>
  <c r="L117" i="9"/>
  <c r="L118" i="9"/>
  <c r="L4" i="9"/>
  <c r="K5" i="9"/>
  <c r="K6" i="9"/>
  <c r="K7" i="9"/>
  <c r="K9" i="9"/>
  <c r="K10" i="9"/>
  <c r="K11" i="9"/>
  <c r="K12" i="9"/>
  <c r="K13" i="9"/>
  <c r="K14" i="9"/>
  <c r="K15" i="9"/>
  <c r="K16" i="9"/>
  <c r="K17" i="9"/>
  <c r="K18" i="9"/>
  <c r="K19" i="9"/>
  <c r="K21" i="9"/>
  <c r="K22" i="9"/>
  <c r="K23" i="9"/>
  <c r="K24" i="9"/>
  <c r="K25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1" i="9"/>
  <c r="K42" i="9"/>
  <c r="K43" i="9"/>
  <c r="K44" i="9"/>
  <c r="K45" i="9"/>
  <c r="K46" i="9"/>
  <c r="K47" i="9"/>
  <c r="K48" i="9"/>
  <c r="K54" i="9"/>
  <c r="K55" i="9"/>
  <c r="K56" i="9"/>
  <c r="K57" i="9"/>
  <c r="K58" i="9"/>
  <c r="K62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9" i="9"/>
  <c r="K110" i="9"/>
  <c r="K111" i="9"/>
  <c r="K112" i="9"/>
  <c r="K113" i="9"/>
  <c r="K114" i="9"/>
  <c r="K115" i="9"/>
  <c r="K117" i="9"/>
  <c r="K118" i="9"/>
  <c r="K4" i="9"/>
  <c r="I5" i="9"/>
  <c r="I6" i="9"/>
  <c r="I7" i="9"/>
  <c r="I9" i="9"/>
  <c r="I10" i="9"/>
  <c r="I11" i="9"/>
  <c r="I12" i="9"/>
  <c r="I13" i="9"/>
  <c r="I14" i="9"/>
  <c r="I15" i="9"/>
  <c r="I16" i="9"/>
  <c r="I17" i="9"/>
  <c r="I18" i="9"/>
  <c r="I19" i="9"/>
  <c r="I21" i="9"/>
  <c r="I22" i="9"/>
  <c r="I23" i="9"/>
  <c r="I24" i="9"/>
  <c r="I25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1" i="9"/>
  <c r="I42" i="9"/>
  <c r="I43" i="9"/>
  <c r="I44" i="9"/>
  <c r="I45" i="9"/>
  <c r="I46" i="9"/>
  <c r="I47" i="9"/>
  <c r="I48" i="9"/>
  <c r="I54" i="9"/>
  <c r="I55" i="9"/>
  <c r="I56" i="9"/>
  <c r="I57" i="9"/>
  <c r="I58" i="9"/>
  <c r="I62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9" i="9"/>
  <c r="I110" i="9"/>
  <c r="I111" i="9"/>
  <c r="I112" i="9"/>
  <c r="I113" i="9"/>
  <c r="I114" i="9"/>
  <c r="I115" i="9"/>
  <c r="I117" i="9"/>
  <c r="I118" i="9"/>
  <c r="I4" i="9"/>
  <c r="H5" i="9"/>
  <c r="H6" i="9"/>
  <c r="H7" i="9"/>
  <c r="H9" i="9"/>
  <c r="H10" i="9"/>
  <c r="H11" i="9"/>
  <c r="H12" i="9"/>
  <c r="H13" i="9"/>
  <c r="H14" i="9"/>
  <c r="H15" i="9"/>
  <c r="H16" i="9"/>
  <c r="H17" i="9"/>
  <c r="H18" i="9"/>
  <c r="H19" i="9"/>
  <c r="H21" i="9"/>
  <c r="H22" i="9"/>
  <c r="H23" i="9"/>
  <c r="H24" i="9"/>
  <c r="H25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1" i="9"/>
  <c r="H42" i="9"/>
  <c r="H43" i="9"/>
  <c r="H44" i="9"/>
  <c r="H45" i="9"/>
  <c r="H46" i="9"/>
  <c r="H47" i="9"/>
  <c r="H48" i="9"/>
  <c r="H54" i="9"/>
  <c r="H55" i="9"/>
  <c r="H56" i="9"/>
  <c r="H57" i="9"/>
  <c r="H58" i="9"/>
  <c r="H62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9" i="9"/>
  <c r="H110" i="9"/>
  <c r="H111" i="9"/>
  <c r="H112" i="9"/>
  <c r="H113" i="9"/>
  <c r="H114" i="9"/>
  <c r="H115" i="9"/>
  <c r="H117" i="9"/>
  <c r="H118" i="9"/>
  <c r="H4" i="9"/>
  <c r="L5" i="8" l="1"/>
  <c r="L6" i="8"/>
  <c r="L7" i="8"/>
  <c r="L9" i="8"/>
  <c r="L10" i="8"/>
  <c r="L11" i="8"/>
  <c r="L12" i="8"/>
  <c r="L13" i="8"/>
  <c r="L14" i="8"/>
  <c r="L15" i="8"/>
  <c r="L17" i="8"/>
  <c r="L18" i="8"/>
  <c r="L19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60" i="8"/>
  <c r="L61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5" i="8"/>
  <c r="L106" i="8"/>
  <c r="K5" i="8"/>
  <c r="K6" i="8"/>
  <c r="K7" i="8"/>
  <c r="K9" i="8"/>
  <c r="K10" i="8"/>
  <c r="K11" i="8"/>
  <c r="K12" i="8"/>
  <c r="K13" i="8"/>
  <c r="K14" i="8"/>
  <c r="K15" i="8"/>
  <c r="K17" i="8"/>
  <c r="K18" i="8"/>
  <c r="K19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60" i="8"/>
  <c r="K61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5" i="8"/>
  <c r="K106" i="8"/>
  <c r="L4" i="8"/>
  <c r="K4" i="8"/>
  <c r="I5" i="8"/>
  <c r="I6" i="8"/>
  <c r="I7" i="8"/>
  <c r="I9" i="8"/>
  <c r="I10" i="8"/>
  <c r="I11" i="8"/>
  <c r="I12" i="8"/>
  <c r="I13" i="8"/>
  <c r="I14" i="8"/>
  <c r="I15" i="8"/>
  <c r="I17" i="8"/>
  <c r="I18" i="8"/>
  <c r="I19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60" i="8"/>
  <c r="I61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5" i="8"/>
  <c r="I106" i="8"/>
  <c r="I4" i="8"/>
  <c r="H5" i="8"/>
  <c r="H6" i="8"/>
  <c r="H7" i="8"/>
  <c r="H9" i="8"/>
  <c r="H10" i="8"/>
  <c r="H11" i="8"/>
  <c r="H12" i="8"/>
  <c r="H13" i="8"/>
  <c r="H14" i="8"/>
  <c r="H15" i="8"/>
  <c r="H17" i="8"/>
  <c r="H18" i="8"/>
  <c r="H19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60" i="8"/>
  <c r="H61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5" i="8"/>
  <c r="H106" i="8"/>
  <c r="H4" i="8"/>
</calcChain>
</file>

<file path=xl/sharedStrings.xml><?xml version="1.0" encoding="utf-8"?>
<sst xmlns="http://schemas.openxmlformats.org/spreadsheetml/2006/main" count="509" uniqueCount="231">
  <si>
    <t>REF</t>
  </si>
  <si>
    <t>IPI</t>
  </si>
  <si>
    <t>1002/12</t>
  </si>
  <si>
    <t>1002/52</t>
  </si>
  <si>
    <t>1006/11</t>
  </si>
  <si>
    <t>1006/41</t>
  </si>
  <si>
    <t>1033/72</t>
  </si>
  <si>
    <t>UTILIDADES DOMÉSTICAS</t>
  </si>
  <si>
    <t>PET SHOP</t>
  </si>
  <si>
    <t>FEMININA</t>
  </si>
  <si>
    <t>FERRAMENTA E PESCA</t>
  </si>
  <si>
    <t>SOS</t>
  </si>
  <si>
    <t>TABELA</t>
  </si>
  <si>
    <t>PE</t>
  </si>
  <si>
    <t xml:space="preserve">DESCRIÇÃO DOS PRODUTOS </t>
  </si>
  <si>
    <t>Cabide de Roupa Prático Infantil 1 unid - Cor</t>
  </si>
  <si>
    <t>Cabide de Roupa Prático Infantil cart c/5unid - Cor</t>
  </si>
  <si>
    <t>Cabide de Roupa Adulto 1 unidade - Preto</t>
  </si>
  <si>
    <t>Cabide de Roupa Adulto cart. c/4 unidades - Preto</t>
  </si>
  <si>
    <t>Pá para lixo - Cor</t>
  </si>
  <si>
    <t>Tabua Grande para Carne - Branca</t>
  </si>
  <si>
    <t>Tabua Pequena para Carne - Branca</t>
  </si>
  <si>
    <t>Kit Tábua (1011+1013) - Branca</t>
  </si>
  <si>
    <t>Porta Miudezas c/3 estojos</t>
  </si>
  <si>
    <t>Porta Miudezas c/4 estojos</t>
  </si>
  <si>
    <t>Porta Miudezas c/5 estojos</t>
  </si>
  <si>
    <t>Prendedor de Roupa Pct c/72 unidades - Cor</t>
  </si>
  <si>
    <t>Tampa para micro</t>
  </si>
  <si>
    <t>Kit Gato (bandeja+pá higiênica+comedouro)</t>
  </si>
  <si>
    <t>Comedouro osso 0,75 lts - material reciclado</t>
  </si>
  <si>
    <t>Comedouro Hamster 0,06 lts - material recicaldo</t>
  </si>
  <si>
    <t>Comedouro Mini 0,40 lts - material reciclado</t>
  </si>
  <si>
    <t>Comedouro Pequeno 0,60 lts - material reciclado</t>
  </si>
  <si>
    <t>Comedouro Médio 1,10 lts - material reciclado</t>
  </si>
  <si>
    <t xml:space="preserve">Comedouro Grande 2,00 lts - material reciclado </t>
  </si>
  <si>
    <t xml:space="preserve">Comedouro de Gato 0,15 lts - material reciclado </t>
  </si>
  <si>
    <t>Bandeja para granulado - material reciclado</t>
  </si>
  <si>
    <t xml:space="preserve">Pá Dosadora - material reciclado </t>
  </si>
  <si>
    <t xml:space="preserve">Pá Higiênica - material reciclado </t>
  </si>
  <si>
    <t xml:space="preserve">Fresbee - material reciclado </t>
  </si>
  <si>
    <t xml:space="preserve">Porta Ração c/3 Estojos </t>
  </si>
  <si>
    <t xml:space="preserve">Comedouro Translucido Filhote - 0,17lts </t>
  </si>
  <si>
    <t xml:space="preserve">Comedouro Translucido Pequeno - 0,45lts </t>
  </si>
  <si>
    <t xml:space="preserve">Comedouro Slim Filhote - 0,15lts </t>
  </si>
  <si>
    <t xml:space="preserve">Comedouro Slim Pequeno - 0,50lts </t>
  </si>
  <si>
    <t xml:space="preserve">Comedouro Slim Médio - 1lts </t>
  </si>
  <si>
    <t xml:space="preserve">Comedouro Carinha de Gato - 0,14lts </t>
  </si>
  <si>
    <t xml:space="preserve">Caixa Transportadora - Grade Plástica </t>
  </si>
  <si>
    <t xml:space="preserve">Mini Bag Fashion c/bandeja - Cor </t>
  </si>
  <si>
    <t xml:space="preserve">Lady Case - Cor </t>
  </si>
  <si>
    <t xml:space="preserve">Mini Bag Fashion - s/bandeja - Cor </t>
  </si>
  <si>
    <t xml:space="preserve">Fashion Bag 2 Bandejas - Cor </t>
  </si>
  <si>
    <t xml:space="preserve">Fashion Bag 3 Bandejas - Cor </t>
  </si>
  <si>
    <t xml:space="preserve">Mini Maleta - Cor </t>
  </si>
  <si>
    <t xml:space="preserve">Maleta Mini Standart s/bandeja - Preta </t>
  </si>
  <si>
    <t xml:space="preserve">Maleta Mini Toolcase (Parafusadeira) - Preta </t>
  </si>
  <si>
    <t xml:space="preserve">Maleta Média Toolcase (Furadeira) - Preta </t>
  </si>
  <si>
    <t xml:space="preserve">Estojo Mini-Box c/bandeja - Preto </t>
  </si>
  <si>
    <t xml:space="preserve">Maleta Prática Grande - Fundo Preto e Tampa Transp </t>
  </si>
  <si>
    <t xml:space="preserve">Organiz. Multibox - Fundo Preto eTampa Transp </t>
  </si>
  <si>
    <t xml:space="preserve">Organiz. Doublebox Estrut. Preta e Tampa Transparente </t>
  </si>
  <si>
    <t xml:space="preserve">Mini Estojo p/ Ferramentas - Preto </t>
  </si>
  <si>
    <t xml:space="preserve">Porta Treco c/5 estojos - Estrutura Transp Tampa Preta </t>
  </si>
  <si>
    <t xml:space="preserve">Maleta Master 20" c/bandeja removível - Preta </t>
  </si>
  <si>
    <t xml:space="preserve">Utility Box - Preta </t>
  </si>
  <si>
    <t>Maleta Master Better 20" - Preta</t>
  </si>
  <si>
    <t xml:space="preserve">Maleta Master 16" s/bandeja - Preta </t>
  </si>
  <si>
    <t xml:space="preserve">Maleta Master 16" c/band removível - Preta </t>
  </si>
  <si>
    <t xml:space="preserve">Maleta Max Utility Box - Preta </t>
  </si>
  <si>
    <t xml:space="preserve">Maleta Premium 2 Bandejas - Preta </t>
  </si>
  <si>
    <t>Maleta Premium 3 Bandejas - Preta</t>
  </si>
  <si>
    <t xml:space="preserve">Maleta Premium 2 Bandejas - Tampa Cor </t>
  </si>
  <si>
    <t>Maleta Premium 3 Bandejas - Tampa Cor</t>
  </si>
  <si>
    <t xml:space="preserve">Mini Maleta - Preta </t>
  </si>
  <si>
    <t xml:space="preserve">Maleta Premiun s/ Bandeja - Preta </t>
  </si>
  <si>
    <t xml:space="preserve">Maleta Premiun c/ 1 Bandeja Articulada - Preta </t>
  </si>
  <si>
    <t xml:space="preserve">Maleta Premiun s/ Bandeja - Tampa Cor </t>
  </si>
  <si>
    <t xml:space="preserve">Maleta Premiun c/ 1 Bandeja Art - Tampa Cor </t>
  </si>
  <si>
    <t xml:space="preserve">Maleta Premiun c/ Bandeja Removível - Preta </t>
  </si>
  <si>
    <t xml:space="preserve">Maleta Premiun c/ Band Removivel - Tampa Cor </t>
  </si>
  <si>
    <t xml:space="preserve">Maleta Premium Toolcase sem estojo - Preta </t>
  </si>
  <si>
    <t xml:space="preserve">Maleta Premium Toolcase com estojo - Preta </t>
  </si>
  <si>
    <r>
      <t xml:space="preserve">Balde Pedreiro Reforcado - 12lts - Preto </t>
    </r>
    <r>
      <rPr>
        <b/>
        <sz val="8"/>
        <color indexed="10"/>
        <rFont val="Arial"/>
        <family val="2"/>
      </rPr>
      <t/>
    </r>
  </si>
  <si>
    <t xml:space="preserve">Maleta Special Box - Serra Marmore - Preta </t>
  </si>
  <si>
    <t xml:space="preserve">Estojo Mini-Box c/bandeja - Preto e Tampa Cor </t>
  </si>
  <si>
    <t xml:space="preserve">Organizador Multibox Pescaria - Transparente </t>
  </si>
  <si>
    <t xml:space="preserve">Estojo Isca Box - Cor </t>
  </si>
  <si>
    <t>Maleta Compacta S.O.S c/1 bandeja articulada - Branca</t>
  </si>
  <si>
    <t xml:space="preserve">Maleta Pronto-Socorro c/2 bandejas articuladas - Branca </t>
  </si>
  <si>
    <t>Maleta Pronto-Socorro c/3 bandejas articuladas - Branca</t>
  </si>
  <si>
    <t>Estojo Multiuso S.O.S - Transparente</t>
  </si>
  <si>
    <t xml:space="preserve">Maleta Mini SOS - Branca </t>
  </si>
  <si>
    <t>Quant Embal</t>
  </si>
  <si>
    <t>LINHA</t>
  </si>
  <si>
    <t xml:space="preserve">Balde Para Concreto - 12lts - Preta </t>
  </si>
  <si>
    <t xml:space="preserve">TABELA GERAL </t>
  </si>
  <si>
    <t>TABELA FOB</t>
  </si>
  <si>
    <t>Cap</t>
  </si>
  <si>
    <t>Int</t>
  </si>
  <si>
    <t xml:space="preserve">Comedouro para Caes Orelhas Longas 0,60 lts - material reciclado </t>
  </si>
  <si>
    <t>Bandeja para granulado - Grande - 18lts - mat reciclado</t>
  </si>
  <si>
    <t xml:space="preserve">Kit Carinha de gato </t>
  </si>
  <si>
    <t>Pá Higienica Carinha de gato</t>
  </si>
  <si>
    <t>Bandeja Carinha de gato - 10lts</t>
  </si>
  <si>
    <t>Bolinha com Guizo</t>
  </si>
  <si>
    <t>Comedouro Postura Ideal - 0,200lts</t>
  </si>
  <si>
    <t>Maleta Serra Marmore - Preta - Alca 16"</t>
  </si>
  <si>
    <t>Balde para Concreto/Multiuso - 12lts - Alça Cor</t>
  </si>
  <si>
    <t>Caixa para Massa - 18lts</t>
  </si>
  <si>
    <t xml:space="preserve">Maleta Master 12" c/ bandeja removivel - Preta </t>
  </si>
  <si>
    <t>Mini Maleta SOS - Branca</t>
  </si>
  <si>
    <t xml:space="preserve">                                       POLÍTICA COMERCIAL</t>
  </si>
  <si>
    <t>REGRA GERAL</t>
  </si>
  <si>
    <t>Regime Tributário: Lucro Presumido</t>
  </si>
  <si>
    <t>IPI deverá ser acrescido ao preço da tabela, de acordo com o produto (PE 50 dividir por 2) (PE 25 dividir por 4)</t>
  </si>
  <si>
    <t>Frete FOB - Cliente deverá indicar a transportadora (Nome  e Telefone)</t>
  </si>
  <si>
    <t>Frete FOB PE 25 - Pedido Mínimo R$ 3.000,00</t>
  </si>
  <si>
    <t>Prazo de Fabricação: até 30dd</t>
  </si>
  <si>
    <t>PEDIDO MÍNIMO X PRAZO X DESCONTO</t>
  </si>
  <si>
    <t>Duplicata Mínima R$ 800,00</t>
  </si>
  <si>
    <t xml:space="preserve">Pedido Mínimo R$ 1.600,00 (em produtos) - Desconto 0% - Prazo Sugestão 28dd (Prazo Médio 28dd)  </t>
  </si>
  <si>
    <t>Pedidos acima R$ 3.000,00 em produtos - Conceder até 7% desconto - PRAZO Sugestão 28/42dd (prazo médio 35dd)</t>
  </si>
  <si>
    <t>Pedidos acima R$ 6.000,00 em produtos - Conceder até 15% desconto - PRAZO Sugestão 28/35/42/56dd (prazo médio 40dd)</t>
  </si>
  <si>
    <t xml:space="preserve">Pedidos acima R$ 10.000,00 em produtos - conceder até 20% desconto - PRAZO Sugestão: 28/42/56/70/84/98 (prazo médio 63dd) </t>
  </si>
  <si>
    <t>Tabela calculada com Prazo Médio 60dd - Financeiro Mensal 3%  para acrescimo ou desconto mensal</t>
  </si>
  <si>
    <t>TABELA COMISSAO X DESCONTO</t>
  </si>
  <si>
    <t>Comissão de 7% - Desconto 0%</t>
  </si>
  <si>
    <t xml:space="preserve">Comissão de 6% - Desconto de até 4% - Pedido Mínimo R$ 3.000,00 </t>
  </si>
  <si>
    <t>Comissão de 5%- Desconto de até 7% - Pedido Mínimo R$  6.000,00</t>
  </si>
  <si>
    <t xml:space="preserve">Comissão de 4% - Desconto de até 10% - Pedido Mínimo R$ 6.000,00 </t>
  </si>
  <si>
    <t>PRODUCAO PARA EXPORTACAO</t>
  </si>
  <si>
    <t xml:space="preserve">IPI - Não Destacar </t>
  </si>
  <si>
    <t>INFORMAÇÕES OBRIGATÓRIAS NO PEDIDO</t>
  </si>
  <si>
    <t>Dados do cliente, telefone, e-mail para envio da nfe</t>
  </si>
  <si>
    <t>Tabela utilizada - GERAL ou PE</t>
  </si>
  <si>
    <t>Frete: CIF ou FOB (no caso de FOB obrigatório Nome da Transp e Telefone)</t>
  </si>
  <si>
    <t xml:space="preserve">Descontos Concedidos (% e Tipo) </t>
  </si>
  <si>
    <t>Prazo de Pagamento</t>
  </si>
  <si>
    <t>Observações Gerais (cor de fecho e alça / cor de produto/ sem etiqueta / somente cod barras / ...)</t>
  </si>
  <si>
    <t>MODELO 17%</t>
  </si>
  <si>
    <t>Frete CIF - Estado Rio Grande do Sul (ver relação de cidades atendidas como CAPITAL)</t>
  </si>
  <si>
    <t xml:space="preserve">ICMS já incluso conforme percentual do RS (17%) </t>
  </si>
  <si>
    <t xml:space="preserve">Estado RS - Cliente com direto Red ICMS para 12% - Tabela Geral Conceder 5% Desc / PE 50 = 2,5% Desc / PE 25 = 1,25% Desc </t>
  </si>
  <si>
    <t>Isento de Impostos: ICMS, PIS e CONFIS - Conceder desconto de 21,65%</t>
  </si>
  <si>
    <t>Isento de Impostos: ICMS, PIS e CONFIS - Conceder desconto de 16,65%</t>
  </si>
  <si>
    <t xml:space="preserve">ICMS já incluso conforme percentual do RS (12%) </t>
  </si>
  <si>
    <t>MODELO 7%</t>
  </si>
  <si>
    <t xml:space="preserve">ICMS já incluso conforme percentual do RS (7%) </t>
  </si>
  <si>
    <t>IPI deverá ser acrescido ao preço da tabela, de acordo com o produto (PE 50 dividir por 2)</t>
  </si>
  <si>
    <t>Frete FOB - Cliente deverá indicar a transportadora (Nome  e Telefone) - RESPONSABILIDADE TOTAL DO CLIENTE (Atraso, Quebra...)</t>
  </si>
  <si>
    <t>Redesp FOB SP</t>
  </si>
  <si>
    <t>Frete CIF - São Paulo Capital + REDESP FOB (indicar a transportadora de sua preferencia</t>
  </si>
  <si>
    <t xml:space="preserve">VENDA PRA CLIENTE COM CADASTRO DE SUFRAMA (OBRIGATORIO INFORMAR NO PEDIDO O NR DE CADASTRO) </t>
  </si>
  <si>
    <t>Isento de Impostos: ICMS (Desc 7%), PIS (Desc 0,65%) e CONFIS (Desc 3%)</t>
  </si>
  <si>
    <t>1006/151</t>
  </si>
  <si>
    <t xml:space="preserve">Cabide de Roupa Adulto Amarr c/ 15 unidades - Petro </t>
  </si>
  <si>
    <t xml:space="preserve">Kit Black (bandeja+pá higiênica+comedouro) </t>
  </si>
  <si>
    <t>1033/48</t>
  </si>
  <si>
    <t>Prendedor de Roupa Pct c/48 unidades - Cor</t>
  </si>
  <si>
    <t>Kit 1 Comedouro Osso (2139) + 1 Comedouro Pequeno (2142)</t>
  </si>
  <si>
    <t>Kit 1 Comedouro Mini (2141) + 1 Comedouro Pequeno (2143)</t>
  </si>
  <si>
    <t>KIT  1 Comedouro Slim Filhote (2701) + 1 Com Slim Medio (2703)</t>
  </si>
  <si>
    <t>Kit 1 Pa Dosadora (2148) +2 Comed (2751) +1 Pa Higienica (2752)</t>
  </si>
  <si>
    <t>KitT 2 Com Carinha Gato (2751) + 1 Pa Hig Carinha Gato (2752)</t>
  </si>
  <si>
    <t>Kit 2 Mini Maletas (3954)</t>
  </si>
  <si>
    <t>Kit 1 Mini Maleta (3954) + 1 Mini Maleta S.O.S (8012)</t>
  </si>
  <si>
    <t>Kit 3 Estojos Mini Color (3905)</t>
  </si>
  <si>
    <t>KIT 1 Maleta Mini Standart (4001) + 2 Mini Estojos (4020)</t>
  </si>
  <si>
    <t>Kit 2 Mini Maletas S.O.S (8012)</t>
  </si>
  <si>
    <t>TABELA PREÇOS - 2025</t>
  </si>
  <si>
    <t>Frete CIF - Estado PR e SP (ver relação de cidades atendidas como CAPITAL)</t>
  </si>
  <si>
    <t xml:space="preserve">Pedido Mínimo R$ 1.600,00 (em produtos) - Desconto 0% - PRAZO Sugestão 28dd (Prazo Médio 28dd)  </t>
  </si>
  <si>
    <t>Pedidos acima R$ 3.000,00 (em produtos) - Conceder até 7% desconto - PRAZO Sugestão 28/42dd (prazo médio 35dd)</t>
  </si>
  <si>
    <t>Pedidos acima R$ 6.000,00 (em produtos) - Conceder até 15% desconto - PRAZO Sugestão 28/35/42/56dd (prazo médio 40dd)</t>
  </si>
  <si>
    <t xml:space="preserve">Pedidos acima R$ 10.000,00 (em produtos) - conceder até 20% desconto - PRAZO Sugestão: 28/42/56/70/84/98 (prazo médio 63dd) </t>
  </si>
  <si>
    <t>1 - REGRA GERAL</t>
  </si>
  <si>
    <t>2 - PEDIDO MÍNIMO X PRAZO X DESCONTO</t>
  </si>
  <si>
    <t xml:space="preserve">3 - TABELA COMISSAO X DESCONTO (ALÉM DOS DESCONTOS DO ITEM 2) </t>
  </si>
  <si>
    <t>4 - PRODUCAO PARA EXPORTACAO</t>
  </si>
  <si>
    <t>5 - INFORMAÇÕES OBRIGATÓRIAS NO PEDIDO</t>
  </si>
  <si>
    <t xml:space="preserve"> PET SHOP</t>
  </si>
  <si>
    <t>Kit 1 Comedouro Slim Filhote (2701) + 1 Com Slim Medio (2703)</t>
  </si>
  <si>
    <t>Kit 2 Com Carinha Gato (2751) + 1 Pa Hig Carinha Gato (2752)</t>
  </si>
  <si>
    <t>Kit 2 Comedouro Slim Mini (2701) + 2 Bolinha Guizo (2754)</t>
  </si>
  <si>
    <t xml:space="preserve">Comedouro osso 0,75 lts </t>
  </si>
  <si>
    <t>Comedouro Hamster 0,06 lts</t>
  </si>
  <si>
    <t xml:space="preserve">Comedouro Mini 0,40 lts </t>
  </si>
  <si>
    <t xml:space="preserve">Comedouro Pequeno 0,60 lts </t>
  </si>
  <si>
    <t xml:space="preserve">Comedouro Médio 1,10 lts </t>
  </si>
  <si>
    <t xml:space="preserve">Comedouro Grande 2,00 lts </t>
  </si>
  <si>
    <t xml:space="preserve">Comedouro para Caes Orelhas Longas 0,60 lts </t>
  </si>
  <si>
    <t xml:space="preserve">Comedouro de Gato 0,15 lts  </t>
  </si>
  <si>
    <t>Bandeja para Granulado</t>
  </si>
  <si>
    <t xml:space="preserve">Pá Dosadora </t>
  </si>
  <si>
    <t xml:space="preserve">Pá Higiênica </t>
  </si>
  <si>
    <t>Fresbee</t>
  </si>
  <si>
    <t xml:space="preserve">Bandeja para Granulado - Grande - 18lts </t>
  </si>
  <si>
    <t xml:space="preserve">Toalete Pet </t>
  </si>
  <si>
    <t xml:space="preserve">Kit Carinha de Gato </t>
  </si>
  <si>
    <t>Pá Higienica Carinha de Gato</t>
  </si>
  <si>
    <t>Bandeja Carinha de Gato - 10lts</t>
  </si>
  <si>
    <t>Fashion Bag s/ Bandeja - Estojo na Tampa</t>
  </si>
  <si>
    <t>Fashion Bag c/ Bandeja Removivel - Estojo na Tampa</t>
  </si>
  <si>
    <t>Fashion Bag 1 Estojo Articulado - Estojo na Tampa</t>
  </si>
  <si>
    <t>Estojo Multiuso S.O.S Médio - Transparente</t>
  </si>
  <si>
    <t>Estojo Multiuso S.O.S Pequeno - Transparente</t>
  </si>
  <si>
    <t xml:space="preserve">Organizador Multibox Médio - Fundo Preto e Tampa Transp </t>
  </si>
  <si>
    <t xml:space="preserve">Organizador Doublebox - Estrutura Preta e Tampa Transp </t>
  </si>
  <si>
    <t>Maleta Premium s/ Bandeja - Estojo na Tampa - Preta</t>
  </si>
  <si>
    <t>Maleta Premium c/ Bandeja Removivel - Estojo na Tampa - Preta</t>
  </si>
  <si>
    <t>Maleta Premium c/ 1 Estojo Articulado - Estojo na Tampa - Preta</t>
  </si>
  <si>
    <t xml:space="preserve">Maleta Master 16" s/ Bandeja - Estojo na Tampa - Preta </t>
  </si>
  <si>
    <t xml:space="preserve">Maleta Master 16" c/ Band Removível - Estojo na Tampa - Preta </t>
  </si>
  <si>
    <t xml:space="preserve">Organizador Multibox Pequeno - Fundo Preto e Tampa Transp </t>
  </si>
  <si>
    <t xml:space="preserve">Organizador Multibox Pequeno - Transparente </t>
  </si>
  <si>
    <t xml:space="preserve">ESTADO PARANA </t>
  </si>
  <si>
    <t>TABELA PE</t>
  </si>
  <si>
    <t>Cidades Atendidas = Tabela Capital PR</t>
  </si>
  <si>
    <t>Almirante Tamandare</t>
  </si>
  <si>
    <t>Araucaria</t>
  </si>
  <si>
    <t>Balsa Nova</t>
  </si>
  <si>
    <t>Campina Grande Sul</t>
  </si>
  <si>
    <t>Campo Largo</t>
  </si>
  <si>
    <t>Campo Magro</t>
  </si>
  <si>
    <t>Colombo</t>
  </si>
  <si>
    <t>Curitiba</t>
  </si>
  <si>
    <t>Fazenda Rio Grande</t>
  </si>
  <si>
    <t>Pinhais</t>
  </si>
  <si>
    <t>Piraquara</t>
  </si>
  <si>
    <t>Quatro Barras</t>
  </si>
  <si>
    <t>São José dos Pinhais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</si>
</sst>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.0%"/>
  </numFmts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30">
    <xf numFmtId="0" fontId="0" fillId="0" borderId="0" xfId="0"/>
    <xf numFmtId="0" fontId="0" fillId="0" borderId="0" xfId="0"/>
    <xf numFmtId="0" fontId="0" fillId="3" borderId="10" xfId="0" applyFill="1" applyBorder="1"/>
    <xf numFmtId="0" fontId="0" fillId="3" borderId="6" xfId="0" applyFill="1" applyBorder="1"/>
    <xf numFmtId="0" fontId="0" fillId="3" borderId="23" xfId="0" applyFill="1" applyBorder="1"/>
    <xf numFmtId="0" fontId="0" fillId="3" borderId="24" xfId="0" applyFill="1" applyBorder="1"/>
    <xf numFmtId="0" fontId="14" fillId="5" borderId="10" xfId="0" applyFont="1" applyFill="1" applyBorder="1" applyAlignment="1">
      <alignment horizontal="left"/>
    </xf>
    <xf numFmtId="0" fontId="14" fillId="5" borderId="12" xfId="0" applyFont="1" applyFill="1" applyBorder="1" applyAlignment="1">
      <alignment horizontal="left"/>
    </xf>
    <xf numFmtId="0" fontId="13" fillId="5" borderId="12" xfId="0" applyFont="1" applyFill="1" applyBorder="1" applyAlignment="1">
      <alignment horizontal="left"/>
    </xf>
    <xf numFmtId="0" fontId="13" fillId="5" borderId="6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left"/>
    </xf>
    <xf numFmtId="0" fontId="13" fillId="5" borderId="24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center" vertical="center" textRotation="90"/>
    </xf>
    <xf numFmtId="0" fontId="1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left"/>
    </xf>
    <xf numFmtId="164" fontId="5" fillId="5" borderId="0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Border="1" applyAlignment="1">
      <alignment horizontal="right"/>
    </xf>
    <xf numFmtId="2" fontId="4" fillId="5" borderId="0" xfId="0" applyNumberFormat="1" applyFont="1" applyFill="1" applyBorder="1"/>
    <xf numFmtId="2" fontId="4" fillId="5" borderId="0" xfId="1" applyNumberFormat="1" applyFont="1" applyFill="1" applyBorder="1"/>
    <xf numFmtId="2" fontId="4" fillId="5" borderId="24" xfId="1" applyNumberFormat="1" applyFont="1" applyFill="1" applyBorder="1"/>
    <xf numFmtId="0" fontId="12" fillId="4" borderId="30" xfId="0" applyFont="1" applyFill="1" applyBorder="1" applyAlignment="1">
      <alignment vertical="center"/>
    </xf>
    <xf numFmtId="0" fontId="12" fillId="4" borderId="29" xfId="0" applyFont="1" applyFill="1" applyBorder="1" applyAlignment="1">
      <alignment vertical="center"/>
    </xf>
    <xf numFmtId="0" fontId="14" fillId="4" borderId="9" xfId="0" applyFont="1" applyFill="1" applyBorder="1" applyAlignment="1"/>
    <xf numFmtId="0" fontId="14" fillId="4" borderId="11" xfId="0" applyFont="1" applyFill="1" applyBorder="1" applyAlignment="1"/>
    <xf numFmtId="0" fontId="13" fillId="5" borderId="35" xfId="0" applyFont="1" applyFill="1" applyBorder="1" applyAlignment="1">
      <alignment horizontal="left"/>
    </xf>
    <xf numFmtId="0" fontId="13" fillId="5" borderId="30" xfId="0" applyFont="1" applyFill="1" applyBorder="1" applyAlignment="1">
      <alignment horizontal="left"/>
    </xf>
    <xf numFmtId="0" fontId="12" fillId="4" borderId="12" xfId="0" applyFont="1" applyFill="1" applyBorder="1" applyAlignment="1">
      <alignment horizontal="left"/>
    </xf>
    <xf numFmtId="0" fontId="12" fillId="4" borderId="6" xfId="0" applyFont="1" applyFill="1" applyBorder="1" applyAlignment="1">
      <alignment horizontal="left"/>
    </xf>
    <xf numFmtId="0" fontId="14" fillId="5" borderId="23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/>
    </xf>
    <xf numFmtId="0" fontId="14" fillId="5" borderId="24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left"/>
    </xf>
    <xf numFmtId="0" fontId="14" fillId="5" borderId="9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0" fontId="14" fillId="5" borderId="30" xfId="0" applyFont="1" applyFill="1" applyBorder="1" applyAlignment="1">
      <alignment horizontal="left"/>
    </xf>
    <xf numFmtId="0" fontId="14" fillId="5" borderId="29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15" fillId="4" borderId="12" xfId="0" applyFont="1" applyFill="1" applyBorder="1" applyAlignment="1">
      <alignment horizontal="left"/>
    </xf>
    <xf numFmtId="2" fontId="4" fillId="8" borderId="16" xfId="0" applyNumberFormat="1" applyFont="1" applyFill="1" applyBorder="1" applyAlignment="1">
      <alignment horizontal="right"/>
    </xf>
    <xf numFmtId="2" fontId="4" fillId="8" borderId="13" xfId="0" applyNumberFormat="1" applyFont="1" applyFill="1" applyBorder="1" applyAlignment="1">
      <alignment horizontal="right"/>
    </xf>
    <xf numFmtId="2" fontId="4" fillId="8" borderId="19" xfId="0" applyNumberFormat="1" applyFont="1" applyFill="1" applyBorder="1" applyAlignment="1">
      <alignment horizontal="right"/>
    </xf>
    <xf numFmtId="2" fontId="4" fillId="8" borderId="27" xfId="0" applyNumberFormat="1" applyFont="1" applyFill="1" applyBorder="1" applyAlignment="1">
      <alignment horizontal="right"/>
    </xf>
    <xf numFmtId="2" fontId="4" fillId="8" borderId="42" xfId="0" applyNumberFormat="1" applyFont="1" applyFill="1" applyBorder="1" applyAlignment="1">
      <alignment horizontal="right"/>
    </xf>
    <xf numFmtId="2" fontId="4" fillId="7" borderId="27" xfId="0" applyNumberFormat="1" applyFont="1" applyFill="1" applyBorder="1"/>
    <xf numFmtId="2" fontId="4" fillId="7" borderId="16" xfId="0" applyNumberFormat="1" applyFont="1" applyFill="1" applyBorder="1"/>
    <xf numFmtId="2" fontId="4" fillId="6" borderId="27" xfId="1" applyNumberFormat="1" applyFont="1" applyFill="1" applyBorder="1"/>
    <xf numFmtId="2" fontId="4" fillId="6" borderId="28" xfId="1" applyNumberFormat="1" applyFont="1" applyFill="1" applyBorder="1"/>
    <xf numFmtId="0" fontId="13" fillId="5" borderId="35" xfId="0" applyFont="1" applyFill="1" applyBorder="1" applyAlignment="1">
      <alignment horizontal="left"/>
    </xf>
    <xf numFmtId="0" fontId="13" fillId="5" borderId="30" xfId="0" applyFont="1" applyFill="1" applyBorder="1" applyAlignment="1">
      <alignment horizontal="left"/>
    </xf>
    <xf numFmtId="0" fontId="14" fillId="5" borderId="23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/>
    </xf>
    <xf numFmtId="0" fontId="14" fillId="5" borderId="24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left"/>
    </xf>
    <xf numFmtId="0" fontId="14" fillId="5" borderId="9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2" fontId="4" fillId="6" borderId="43" xfId="0" applyNumberFormat="1" applyFont="1" applyFill="1" applyBorder="1"/>
    <xf numFmtId="2" fontId="4" fillId="6" borderId="44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Protection="1">
      <protection locked="0"/>
    </xf>
    <xf numFmtId="0" fontId="1" fillId="0" borderId="18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4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7" fillId="4" borderId="38" xfId="0" applyFont="1" applyFill="1" applyBorder="1" applyAlignment="1" applyProtection="1">
      <alignment horizontal="center"/>
    </xf>
    <xf numFmtId="2" fontId="4" fillId="6" borderId="16" xfId="1" applyNumberFormat="1" applyFont="1" applyFill="1" applyBorder="1"/>
    <xf numFmtId="2" fontId="4" fillId="6" borderId="17" xfId="1" applyNumberFormat="1" applyFont="1" applyFill="1" applyBorder="1"/>
    <xf numFmtId="0" fontId="1" fillId="0" borderId="2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left"/>
    </xf>
    <xf numFmtId="0" fontId="1" fillId="0" borderId="36" xfId="0" applyFont="1" applyFill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7" fillId="4" borderId="39" xfId="0" applyFont="1" applyFill="1" applyBorder="1" applyAlignment="1" applyProtection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20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7" fillId="4" borderId="2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/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left"/>
    </xf>
    <xf numFmtId="2" fontId="4" fillId="6" borderId="45" xfId="0" applyNumberFormat="1" applyFont="1" applyFill="1" applyBorder="1"/>
    <xf numFmtId="2" fontId="4" fillId="6" borderId="46" xfId="0" applyNumberFormat="1" applyFont="1" applyFill="1" applyBorder="1"/>
    <xf numFmtId="0" fontId="7" fillId="4" borderId="35" xfId="0" applyFont="1" applyFill="1" applyBorder="1" applyAlignment="1">
      <alignment horizontal="center"/>
    </xf>
    <xf numFmtId="0" fontId="7" fillId="4" borderId="40" xfId="0" applyFont="1" applyFill="1" applyBorder="1" applyAlignment="1" applyProtection="1">
      <alignment horizontal="center"/>
    </xf>
    <xf numFmtId="0" fontId="3" fillId="8" borderId="31" xfId="0" applyFont="1" applyFill="1" applyBorder="1" applyAlignment="1">
      <alignment horizontal="center" vertical="center" wrapText="1"/>
    </xf>
    <xf numFmtId="0" fontId="3" fillId="8" borderId="47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2" fontId="4" fillId="6" borderId="34" xfId="1" applyNumberFormat="1" applyFont="1" applyFill="1" applyBorder="1"/>
    <xf numFmtId="2" fontId="4" fillId="6" borderId="42" xfId="1" applyNumberFormat="1" applyFont="1" applyFill="1" applyBorder="1"/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2" fillId="4" borderId="35" xfId="0" applyFont="1" applyFill="1" applyBorder="1" applyAlignment="1">
      <alignment horizontal="left"/>
    </xf>
    <xf numFmtId="0" fontId="12" fillId="4" borderId="30" xfId="0" applyFont="1" applyFill="1" applyBorder="1" applyAlignment="1">
      <alignment horizontal="left"/>
    </xf>
    <xf numFmtId="0" fontId="12" fillId="4" borderId="29" xfId="0" applyFont="1" applyFill="1" applyBorder="1" applyAlignment="1">
      <alignment horizontal="left"/>
    </xf>
    <xf numFmtId="2" fontId="4" fillId="7" borderId="42" xfId="0" applyNumberFormat="1" applyFont="1" applyFill="1" applyBorder="1"/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left"/>
    </xf>
    <xf numFmtId="0" fontId="12" fillId="4" borderId="35" xfId="0" applyFont="1" applyFill="1" applyBorder="1" applyAlignment="1">
      <alignment vertical="center"/>
    </xf>
    <xf numFmtId="0" fontId="14" fillId="4" borderId="24" xfId="0" applyFont="1" applyFill="1" applyBorder="1" applyAlignment="1"/>
    <xf numFmtId="0" fontId="3" fillId="8" borderId="35" xfId="0" applyFont="1" applyFill="1" applyBorder="1" applyAlignment="1">
      <alignment horizontal="center" vertical="center" wrapText="1"/>
    </xf>
    <xf numFmtId="2" fontId="4" fillId="8" borderId="50" xfId="0" applyNumberFormat="1" applyFont="1" applyFill="1" applyBorder="1" applyAlignment="1">
      <alignment horizontal="right"/>
    </xf>
    <xf numFmtId="2" fontId="4" fillId="8" borderId="51" xfId="0" applyNumberFormat="1" applyFont="1" applyFill="1" applyBorder="1" applyAlignment="1">
      <alignment horizontal="right"/>
    </xf>
    <xf numFmtId="2" fontId="4" fillId="8" borderId="52" xfId="0" applyNumberFormat="1" applyFont="1" applyFill="1" applyBorder="1" applyAlignment="1">
      <alignment horizontal="right"/>
    </xf>
    <xf numFmtId="2" fontId="4" fillId="8" borderId="53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2" fontId="4" fillId="7" borderId="14" xfId="0" applyNumberFormat="1" applyFont="1" applyFill="1" applyBorder="1"/>
    <xf numFmtId="2" fontId="4" fillId="7" borderId="54" xfId="0" applyNumberFormat="1" applyFont="1" applyFill="1" applyBorder="1"/>
    <xf numFmtId="2" fontId="4" fillId="7" borderId="7" xfId="0" applyNumberFormat="1" applyFont="1" applyFill="1" applyBorder="1"/>
    <xf numFmtId="0" fontId="13" fillId="5" borderId="35" xfId="0" applyFont="1" applyFill="1" applyBorder="1" applyAlignment="1"/>
    <xf numFmtId="0" fontId="13" fillId="5" borderId="30" xfId="0" applyFont="1" applyFill="1" applyBorder="1" applyAlignment="1"/>
    <xf numFmtId="0" fontId="14" fillId="5" borderId="0" xfId="0" applyFont="1" applyFill="1" applyBorder="1" applyAlignment="1"/>
    <xf numFmtId="0" fontId="14" fillId="5" borderId="23" xfId="0" applyFont="1" applyFill="1" applyBorder="1" applyAlignment="1"/>
    <xf numFmtId="0" fontId="14" fillId="5" borderId="8" xfId="0" applyFont="1" applyFill="1" applyBorder="1" applyAlignment="1"/>
    <xf numFmtId="0" fontId="14" fillId="5" borderId="9" xfId="0" applyFont="1" applyFill="1" applyBorder="1" applyAlignment="1"/>
    <xf numFmtId="0" fontId="13" fillId="5" borderId="29" xfId="0" applyFont="1" applyFill="1" applyBorder="1" applyAlignment="1"/>
    <xf numFmtId="0" fontId="14" fillId="5" borderId="12" xfId="0" applyFont="1" applyFill="1" applyBorder="1" applyAlignment="1"/>
    <xf numFmtId="0" fontId="14" fillId="5" borderId="6" xfId="0" applyFont="1" applyFill="1" applyBorder="1" applyAlignment="1"/>
    <xf numFmtId="0" fontId="14" fillId="5" borderId="24" xfId="0" applyFont="1" applyFill="1" applyBorder="1" applyAlignment="1"/>
    <xf numFmtId="0" fontId="14" fillId="5" borderId="11" xfId="0" applyFont="1" applyFill="1" applyBorder="1" applyAlignment="1"/>
    <xf numFmtId="0" fontId="14" fillId="5" borderId="10" xfId="0" applyFont="1" applyFill="1" applyBorder="1" applyAlignment="1"/>
    <xf numFmtId="0" fontId="0" fillId="5" borderId="12" xfId="0" applyFill="1" applyBorder="1"/>
    <xf numFmtId="0" fontId="0" fillId="5" borderId="6" xfId="0" applyFill="1" applyBorder="1"/>
    <xf numFmtId="0" fontId="0" fillId="5" borderId="0" xfId="0" applyFill="1" applyBorder="1"/>
    <xf numFmtId="0" fontId="0" fillId="5" borderId="24" xfId="0" applyFill="1" applyBorder="1"/>
    <xf numFmtId="0" fontId="0" fillId="5" borderId="9" xfId="0" applyFill="1" applyBorder="1"/>
    <xf numFmtId="0" fontId="0" fillId="5" borderId="11" xfId="0" applyFill="1" applyBorder="1"/>
    <xf numFmtId="0" fontId="1" fillId="0" borderId="54" xfId="0" applyFont="1" applyBorder="1" applyAlignment="1" applyProtection="1">
      <alignment horizontal="center"/>
      <protection locked="0"/>
    </xf>
    <xf numFmtId="0" fontId="1" fillId="0" borderId="55" xfId="0" applyFont="1" applyBorder="1" applyProtection="1">
      <protection locked="0"/>
    </xf>
    <xf numFmtId="0" fontId="1" fillId="0" borderId="56" xfId="0" applyFont="1" applyBorder="1" applyAlignment="1" applyProtection="1">
      <alignment horizontal="center"/>
      <protection locked="0"/>
    </xf>
    <xf numFmtId="164" fontId="1" fillId="2" borderId="54" xfId="0" applyNumberFormat="1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1" fillId="0" borderId="57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164" fontId="1" fillId="2" borderId="57" xfId="0" applyNumberFormat="1" applyFont="1" applyFill="1" applyBorder="1" applyAlignment="1">
      <alignment horizontal="center" vertical="center"/>
    </xf>
    <xf numFmtId="2" fontId="4" fillId="8" borderId="58" xfId="0" applyNumberFormat="1" applyFont="1" applyFill="1" applyBorder="1" applyAlignment="1">
      <alignment horizontal="right"/>
    </xf>
    <xf numFmtId="2" fontId="4" fillId="7" borderId="59" xfId="0" applyNumberFormat="1" applyFont="1" applyFill="1" applyBorder="1"/>
    <xf numFmtId="2" fontId="4" fillId="6" borderId="60" xfId="0" applyNumberFormat="1" applyFont="1" applyFill="1" applyBorder="1"/>
    <xf numFmtId="2" fontId="4" fillId="6" borderId="59" xfId="1" applyNumberFormat="1" applyFont="1" applyFill="1" applyBorder="1"/>
    <xf numFmtId="2" fontId="4" fillId="6" borderId="61" xfId="1" applyNumberFormat="1" applyFont="1" applyFill="1" applyBorder="1"/>
    <xf numFmtId="2" fontId="4" fillId="7" borderId="13" xfId="0" applyNumberFormat="1" applyFont="1" applyFill="1" applyBorder="1"/>
    <xf numFmtId="2" fontId="4" fillId="6" borderId="13" xfId="0" applyNumberFormat="1" applyFont="1" applyFill="1" applyBorder="1"/>
    <xf numFmtId="2" fontId="4" fillId="6" borderId="13" xfId="1" applyNumberFormat="1" applyFont="1" applyFill="1" applyBorder="1"/>
    <xf numFmtId="2" fontId="4" fillId="6" borderId="62" xfId="1" applyNumberFormat="1" applyFont="1" applyFill="1" applyBorder="1"/>
    <xf numFmtId="2" fontId="4" fillId="7" borderId="15" xfId="0" applyNumberFormat="1" applyFont="1" applyFill="1" applyBorder="1"/>
    <xf numFmtId="2" fontId="4" fillId="7" borderId="55" xfId="0" applyNumberFormat="1" applyFont="1" applyFill="1" applyBorder="1"/>
    <xf numFmtId="2" fontId="4" fillId="8" borderId="14" xfId="0" applyNumberFormat="1" applyFont="1" applyFill="1" applyBorder="1" applyAlignment="1">
      <alignment horizontal="right"/>
    </xf>
    <xf numFmtId="2" fontId="4" fillId="8" borderId="54" xfId="0" applyNumberFormat="1" applyFont="1" applyFill="1" applyBorder="1" applyAlignment="1">
      <alignment horizontal="right"/>
    </xf>
    <xf numFmtId="2" fontId="4" fillId="8" borderId="4" xfId="0" applyNumberFormat="1" applyFont="1" applyFill="1" applyBorder="1" applyAlignment="1">
      <alignment horizontal="right"/>
    </xf>
    <xf numFmtId="0" fontId="1" fillId="0" borderId="57" xfId="0" applyFont="1" applyFill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left"/>
    </xf>
    <xf numFmtId="0" fontId="1" fillId="0" borderId="56" xfId="0" applyFont="1" applyBorder="1" applyAlignment="1">
      <alignment horizontal="center"/>
    </xf>
    <xf numFmtId="2" fontId="4" fillId="6" borderId="63" xfId="0" applyNumberFormat="1" applyFont="1" applyFill="1" applyBorder="1"/>
    <xf numFmtId="2" fontId="4" fillId="8" borderId="46" xfId="0" applyNumberFormat="1" applyFont="1" applyFill="1" applyBorder="1" applyAlignment="1">
      <alignment horizontal="right"/>
    </xf>
    <xf numFmtId="2" fontId="4" fillId="8" borderId="43" xfId="0" applyNumberFormat="1" applyFont="1" applyFill="1" applyBorder="1" applyAlignment="1">
      <alignment horizontal="right"/>
    </xf>
    <xf numFmtId="2" fontId="4" fillId="8" borderId="44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0" fontId="1" fillId="0" borderId="54" xfId="0" applyFont="1" applyBorder="1" applyAlignment="1" applyProtection="1">
      <alignment horizontal="center"/>
      <protection locked="0"/>
    </xf>
    <xf numFmtId="0" fontId="1" fillId="0" borderId="55" xfId="0" applyFont="1" applyBorder="1" applyProtection="1">
      <protection locked="0"/>
    </xf>
    <xf numFmtId="0" fontId="1" fillId="0" borderId="56" xfId="0" applyFont="1" applyBorder="1" applyAlignment="1" applyProtection="1">
      <alignment horizontal="center"/>
      <protection locked="0"/>
    </xf>
    <xf numFmtId="164" fontId="1" fillId="2" borderId="5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1" fillId="0" borderId="57" xfId="0" applyFont="1" applyBorder="1" applyAlignment="1">
      <alignment horizontal="left"/>
    </xf>
    <xf numFmtId="164" fontId="1" fillId="2" borderId="57" xfId="0" applyNumberFormat="1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4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  <xf numFmtId="164" fontId="1" fillId="2" borderId="54" xfId="0" applyNumberFormat="1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left"/>
    </xf>
    <xf numFmtId="0" fontId="1" fillId="0" borderId="56" xfId="0" applyFont="1" applyBorder="1" applyAlignment="1">
      <alignment horizontal="center"/>
    </xf>
    <xf numFmtId="2" fontId="4" fillId="6" borderId="27" xfId="0" applyNumberFormat="1" applyFont="1" applyFill="1" applyBorder="1"/>
    <xf numFmtId="0" fontId="13" fillId="4" borderId="35" xfId="0" applyFont="1" applyFill="1" applyBorder="1" applyAlignment="1">
      <alignment horizontal="left"/>
    </xf>
    <xf numFmtId="0" fontId="13" fillId="4" borderId="30" xfId="0" applyFont="1" applyFill="1" applyBorder="1" applyAlignment="1">
      <alignment horizontal="left"/>
    </xf>
    <xf numFmtId="0" fontId="13" fillId="4" borderId="29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6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3" fillId="8" borderId="37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textRotation="90"/>
    </xf>
    <xf numFmtId="0" fontId="3" fillId="4" borderId="23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89"/>
    </xf>
    <xf numFmtId="0" fontId="3" fillId="4" borderId="3" xfId="0" applyFont="1" applyFill="1" applyBorder="1" applyAlignment="1">
      <alignment horizontal="center" vertical="center" textRotation="89"/>
    </xf>
    <xf numFmtId="0" fontId="3" fillId="4" borderId="25" xfId="0" applyFont="1" applyFill="1" applyBorder="1" applyAlignment="1">
      <alignment horizontal="center" vertical="center" textRotation="90"/>
    </xf>
    <xf numFmtId="0" fontId="3" fillId="4" borderId="22" xfId="0" applyFont="1" applyFill="1" applyBorder="1" applyAlignment="1">
      <alignment horizontal="center" vertical="center" textRotation="90"/>
    </xf>
    <xf numFmtId="0" fontId="3" fillId="4" borderId="49" xfId="0" applyFont="1" applyFill="1" applyBorder="1" applyAlignment="1">
      <alignment horizontal="center" vertical="center" textRotation="90"/>
    </xf>
    <xf numFmtId="0" fontId="3" fillId="4" borderId="26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 vertical="center" textRotation="90"/>
    </xf>
    <xf numFmtId="0" fontId="3" fillId="4" borderId="7" xfId="0" applyFont="1" applyFill="1" applyBorder="1" applyAlignment="1">
      <alignment horizontal="center" vertical="center" textRotation="90"/>
    </xf>
    <xf numFmtId="0" fontId="3" fillId="4" borderId="8" xfId="0" applyFont="1" applyFill="1" applyBorder="1" applyAlignment="1">
      <alignment horizontal="center" vertical="center" textRotation="90"/>
    </xf>
    <xf numFmtId="0" fontId="13" fillId="4" borderId="8" xfId="0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1" xfId="0" applyFont="1" applyFill="1" applyBorder="1" applyAlignment="1">
      <alignment horizontal="left"/>
    </xf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left"/>
    </xf>
    <xf numFmtId="0" fontId="13" fillId="5" borderId="35" xfId="0" applyFont="1" applyFill="1" applyBorder="1" applyAlignment="1">
      <alignment horizontal="left"/>
    </xf>
    <xf numFmtId="0" fontId="13" fillId="5" borderId="30" xfId="0" applyFont="1" applyFill="1" applyBorder="1" applyAlignment="1">
      <alignment horizontal="left"/>
    </xf>
    <xf numFmtId="0" fontId="13" fillId="5" borderId="29" xfId="0" applyFont="1" applyFill="1" applyBorder="1" applyAlignment="1">
      <alignment horizontal="left"/>
    </xf>
    <xf numFmtId="0" fontId="12" fillId="4" borderId="35" xfId="0" applyFont="1" applyFill="1" applyBorder="1" applyAlignment="1">
      <alignment horizontal="left"/>
    </xf>
    <xf numFmtId="0" fontId="12" fillId="4" borderId="30" xfId="0" applyFont="1" applyFill="1" applyBorder="1" applyAlignment="1">
      <alignment horizontal="left"/>
    </xf>
    <xf numFmtId="0" fontId="12" fillId="4" borderId="29" xfId="0" applyFont="1" applyFill="1" applyBorder="1" applyAlignment="1">
      <alignment horizontal="left"/>
    </xf>
    <xf numFmtId="0" fontId="14" fillId="5" borderId="23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/>
    </xf>
    <xf numFmtId="0" fontId="14" fillId="5" borderId="24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left"/>
    </xf>
    <xf numFmtId="0" fontId="14" fillId="5" borderId="9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0" fontId="14" fillId="4" borderId="11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 vertical="center" textRotation="89"/>
    </xf>
    <xf numFmtId="0" fontId="14" fillId="5" borderId="10" xfId="0" applyFont="1" applyFill="1" applyBorder="1" applyAlignment="1">
      <alignment horizontal="left"/>
    </xf>
    <xf numFmtId="0" fontId="14" fillId="5" borderId="12" xfId="0" applyFont="1" applyFill="1" applyBorder="1" applyAlignment="1">
      <alignment horizontal="left"/>
    </xf>
    <xf numFmtId="0" fontId="14" fillId="5" borderId="6" xfId="0" applyFont="1" applyFill="1" applyBorder="1" applyAlignment="1">
      <alignment horizontal="left"/>
    </xf>
    <xf numFmtId="0" fontId="3" fillId="8" borderId="49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textRotation="90"/>
    </xf>
    <xf numFmtId="0" fontId="15" fillId="4" borderId="23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15" fillId="4" borderId="24" xfId="0" applyFont="1" applyFill="1" applyBorder="1" applyAlignment="1">
      <alignment horizontal="left"/>
    </xf>
    <xf numFmtId="0" fontId="14" fillId="5" borderId="23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0" borderId="0" xfId="0" applyBorder="1"/>
    <xf numFmtId="0" fontId="16" fillId="0" borderId="0" xfId="0" applyFont="1" applyBorder="1"/>
    <xf numFmtId="0" fontId="16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CC"/>
      <color rgb="FF7BBEF5"/>
      <color rgb="FF728BF6"/>
      <color rgb="FF0F3AEF"/>
      <color rgb="FF2048F0"/>
      <color rgb="FF7A92F6"/>
      <color rgb="FF83EDD9"/>
      <color rgb="FF9A7AF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olymer _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532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olymer _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7152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olymer _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7152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selection activeCell="C2" sqref="C2:E2"/>
    </sheetView>
  </sheetViews>
  <sheetFormatPr defaultRowHeight="15" x14ac:dyDescent="0.25"/>
  <cols>
    <col min="1" max="1" width="5.42578125" customWidth="1"/>
    <col min="2" max="2" width="7.28515625" customWidth="1"/>
    <col min="3" max="3" width="47.140625" customWidth="1"/>
    <col min="4" max="4" width="5.7109375" bestFit="1" customWidth="1"/>
    <col min="5" max="5" width="5.42578125" bestFit="1" customWidth="1"/>
    <col min="6" max="12" width="4.85546875" bestFit="1" customWidth="1"/>
  </cols>
  <sheetData>
    <row r="1" spans="1:12" x14ac:dyDescent="0.25">
      <c r="A1" s="2"/>
      <c r="B1" s="3"/>
      <c r="C1" s="269" t="s">
        <v>169</v>
      </c>
      <c r="D1" s="270"/>
      <c r="E1" s="271"/>
      <c r="F1" s="275" t="s">
        <v>95</v>
      </c>
      <c r="G1" s="275"/>
      <c r="H1" s="265" t="s">
        <v>12</v>
      </c>
      <c r="I1" s="266"/>
      <c r="J1" s="259" t="s">
        <v>96</v>
      </c>
      <c r="K1" s="260"/>
      <c r="L1" s="261"/>
    </row>
    <row r="2" spans="1:12" ht="15.75" thickBot="1" x14ac:dyDescent="0.3">
      <c r="A2" s="4"/>
      <c r="B2" s="5"/>
      <c r="C2" s="272" t="s">
        <v>139</v>
      </c>
      <c r="D2" s="273"/>
      <c r="E2" s="274"/>
      <c r="F2" s="276"/>
      <c r="G2" s="276"/>
      <c r="H2" s="267" t="s">
        <v>13</v>
      </c>
      <c r="I2" s="268"/>
      <c r="J2" s="262"/>
      <c r="K2" s="263"/>
      <c r="L2" s="264"/>
    </row>
    <row r="3" spans="1:12" ht="23.25" thickBot="1" x14ac:dyDescent="0.3">
      <c r="A3" s="111" t="s">
        <v>93</v>
      </c>
      <c r="B3" s="112" t="s">
        <v>0</v>
      </c>
      <c r="C3" s="72" t="s">
        <v>14</v>
      </c>
      <c r="D3" s="84" t="s">
        <v>92</v>
      </c>
      <c r="E3" s="96" t="s">
        <v>1</v>
      </c>
      <c r="F3" s="113" t="s">
        <v>97</v>
      </c>
      <c r="G3" s="114" t="s">
        <v>98</v>
      </c>
      <c r="H3" s="115" t="s">
        <v>97</v>
      </c>
      <c r="I3" s="116" t="s">
        <v>98</v>
      </c>
      <c r="J3" s="117">
        <v>100</v>
      </c>
      <c r="K3" s="118">
        <v>50</v>
      </c>
      <c r="L3" s="119">
        <v>25</v>
      </c>
    </row>
    <row r="4" spans="1:12" x14ac:dyDescent="0.25">
      <c r="A4" s="279" t="s">
        <v>7</v>
      </c>
      <c r="B4" s="65" t="s">
        <v>2</v>
      </c>
      <c r="C4" s="69" t="s">
        <v>15</v>
      </c>
      <c r="D4" s="85">
        <v>60</v>
      </c>
      <c r="E4" s="97">
        <v>6.5000000000000002E-2</v>
      </c>
      <c r="F4" s="43"/>
      <c r="G4" s="43"/>
      <c r="H4" s="45">
        <f>F4/1.12</f>
        <v>0</v>
      </c>
      <c r="I4" s="45">
        <f>G4/1.12</f>
        <v>0</v>
      </c>
      <c r="J4" s="110"/>
      <c r="K4" s="47">
        <f>J4/1.28</f>
        <v>0</v>
      </c>
      <c r="L4" s="48">
        <f>J4/1.4</f>
        <v>0</v>
      </c>
    </row>
    <row r="5" spans="1:12" x14ac:dyDescent="0.25">
      <c r="A5" s="280"/>
      <c r="B5" s="66" t="s">
        <v>3</v>
      </c>
      <c r="C5" s="62" t="s">
        <v>16</v>
      </c>
      <c r="D5" s="86">
        <v>12</v>
      </c>
      <c r="E5" s="98">
        <v>6.5000000000000002E-2</v>
      </c>
      <c r="F5" s="41"/>
      <c r="G5" s="41"/>
      <c r="H5" s="45">
        <f t="shared" ref="H5:H66" si="0">F5/1.12</f>
        <v>0</v>
      </c>
      <c r="I5" s="45">
        <f t="shared" ref="I5:I66" si="1">G5/1.12</f>
        <v>0</v>
      </c>
      <c r="J5" s="60"/>
      <c r="K5" s="47">
        <f t="shared" ref="K5:K66" si="2">J5/1.28</f>
        <v>0</v>
      </c>
      <c r="L5" s="48">
        <f t="shared" ref="L5:L66" si="3">J5/1.4</f>
        <v>0</v>
      </c>
    </row>
    <row r="6" spans="1:12" x14ac:dyDescent="0.25">
      <c r="A6" s="280"/>
      <c r="B6" s="66" t="s">
        <v>4</v>
      </c>
      <c r="C6" s="62" t="s">
        <v>17</v>
      </c>
      <c r="D6" s="86">
        <v>60</v>
      </c>
      <c r="E6" s="98">
        <v>6.5000000000000002E-2</v>
      </c>
      <c r="F6" s="41"/>
      <c r="G6" s="41"/>
      <c r="H6" s="45">
        <f t="shared" si="0"/>
        <v>0</v>
      </c>
      <c r="I6" s="45">
        <f t="shared" si="1"/>
        <v>0</v>
      </c>
      <c r="J6" s="60"/>
      <c r="K6" s="47">
        <f t="shared" si="2"/>
        <v>0</v>
      </c>
      <c r="L6" s="48">
        <f t="shared" si="3"/>
        <v>0</v>
      </c>
    </row>
    <row r="7" spans="1:12" x14ac:dyDescent="0.25">
      <c r="A7" s="280"/>
      <c r="B7" s="66" t="s">
        <v>5</v>
      </c>
      <c r="C7" s="62" t="s">
        <v>18</v>
      </c>
      <c r="D7" s="86">
        <v>12</v>
      </c>
      <c r="E7" s="98">
        <v>6.5000000000000002E-2</v>
      </c>
      <c r="F7" s="41"/>
      <c r="G7" s="41"/>
      <c r="H7" s="45">
        <f t="shared" si="0"/>
        <v>0</v>
      </c>
      <c r="I7" s="45">
        <f t="shared" si="1"/>
        <v>0</v>
      </c>
      <c r="J7" s="60"/>
      <c r="K7" s="47">
        <f t="shared" si="2"/>
        <v>0</v>
      </c>
      <c r="L7" s="48">
        <f t="shared" si="3"/>
        <v>0</v>
      </c>
    </row>
    <row r="8" spans="1:12" s="1" customFormat="1" x14ac:dyDescent="0.25">
      <c r="A8" s="280"/>
      <c r="B8" s="66" t="s">
        <v>154</v>
      </c>
      <c r="C8" s="62" t="s">
        <v>155</v>
      </c>
      <c r="D8" s="86">
        <v>5</v>
      </c>
      <c r="E8" s="98">
        <v>6.5000000000000002E-2</v>
      </c>
      <c r="F8" s="41"/>
      <c r="G8" s="41"/>
      <c r="H8" s="45">
        <f t="shared" si="0"/>
        <v>0</v>
      </c>
      <c r="I8" s="45">
        <f t="shared" si="1"/>
        <v>0</v>
      </c>
      <c r="J8" s="60"/>
      <c r="K8" s="47">
        <f t="shared" si="2"/>
        <v>0</v>
      </c>
      <c r="L8" s="48">
        <f t="shared" si="3"/>
        <v>0</v>
      </c>
    </row>
    <row r="9" spans="1:12" x14ac:dyDescent="0.25">
      <c r="A9" s="280"/>
      <c r="B9" s="66">
        <v>1010</v>
      </c>
      <c r="C9" s="62" t="s">
        <v>19</v>
      </c>
      <c r="D9" s="86">
        <v>12</v>
      </c>
      <c r="E9" s="98">
        <v>6.5000000000000002E-2</v>
      </c>
      <c r="F9" s="41"/>
      <c r="G9" s="41"/>
      <c r="H9" s="45">
        <f t="shared" si="0"/>
        <v>0</v>
      </c>
      <c r="I9" s="45">
        <f t="shared" si="1"/>
        <v>0</v>
      </c>
      <c r="J9" s="60"/>
      <c r="K9" s="47">
        <f t="shared" si="2"/>
        <v>0</v>
      </c>
      <c r="L9" s="48">
        <f t="shared" si="3"/>
        <v>0</v>
      </c>
    </row>
    <row r="10" spans="1:12" x14ac:dyDescent="0.25">
      <c r="A10" s="280"/>
      <c r="B10" s="66">
        <v>1011</v>
      </c>
      <c r="C10" s="62" t="s">
        <v>20</v>
      </c>
      <c r="D10" s="86">
        <v>12</v>
      </c>
      <c r="E10" s="98">
        <v>6.5000000000000002E-2</v>
      </c>
      <c r="F10" s="41"/>
      <c r="G10" s="41"/>
      <c r="H10" s="45">
        <f t="shared" si="0"/>
        <v>0</v>
      </c>
      <c r="I10" s="45">
        <f t="shared" si="1"/>
        <v>0</v>
      </c>
      <c r="J10" s="60"/>
      <c r="K10" s="47">
        <f t="shared" si="2"/>
        <v>0</v>
      </c>
      <c r="L10" s="48">
        <f t="shared" si="3"/>
        <v>0</v>
      </c>
    </row>
    <row r="11" spans="1:12" x14ac:dyDescent="0.25">
      <c r="A11" s="280"/>
      <c r="B11" s="66">
        <v>1012</v>
      </c>
      <c r="C11" s="62" t="s">
        <v>21</v>
      </c>
      <c r="D11" s="86">
        <v>12</v>
      </c>
      <c r="E11" s="98">
        <v>6.5000000000000002E-2</v>
      </c>
      <c r="F11" s="41"/>
      <c r="G11" s="41"/>
      <c r="H11" s="45">
        <f t="shared" si="0"/>
        <v>0</v>
      </c>
      <c r="I11" s="45">
        <f t="shared" si="1"/>
        <v>0</v>
      </c>
      <c r="J11" s="60"/>
      <c r="K11" s="47">
        <f t="shared" si="2"/>
        <v>0</v>
      </c>
      <c r="L11" s="48">
        <f t="shared" si="3"/>
        <v>0</v>
      </c>
    </row>
    <row r="12" spans="1:12" x14ac:dyDescent="0.25">
      <c r="A12" s="280"/>
      <c r="B12" s="66">
        <v>1013</v>
      </c>
      <c r="C12" s="62" t="s">
        <v>22</v>
      </c>
      <c r="D12" s="86">
        <v>12</v>
      </c>
      <c r="E12" s="98">
        <v>6.5000000000000002E-2</v>
      </c>
      <c r="F12" s="41"/>
      <c r="G12" s="41"/>
      <c r="H12" s="45">
        <f t="shared" si="0"/>
        <v>0</v>
      </c>
      <c r="I12" s="45">
        <f t="shared" si="1"/>
        <v>0</v>
      </c>
      <c r="J12" s="60"/>
      <c r="K12" s="47">
        <f t="shared" si="2"/>
        <v>0</v>
      </c>
      <c r="L12" s="48">
        <f t="shared" si="3"/>
        <v>0</v>
      </c>
    </row>
    <row r="13" spans="1:12" x14ac:dyDescent="0.25">
      <c r="A13" s="280"/>
      <c r="B13" s="66">
        <v>1023</v>
      </c>
      <c r="C13" s="62" t="s">
        <v>23</v>
      </c>
      <c r="D13" s="86">
        <v>12</v>
      </c>
      <c r="E13" s="98">
        <v>6.5000000000000002E-2</v>
      </c>
      <c r="F13" s="41"/>
      <c r="G13" s="41"/>
      <c r="H13" s="45">
        <f t="shared" si="0"/>
        <v>0</v>
      </c>
      <c r="I13" s="45">
        <f t="shared" si="1"/>
        <v>0</v>
      </c>
      <c r="J13" s="60"/>
      <c r="K13" s="47">
        <f t="shared" si="2"/>
        <v>0</v>
      </c>
      <c r="L13" s="48">
        <f t="shared" si="3"/>
        <v>0</v>
      </c>
    </row>
    <row r="14" spans="1:12" x14ac:dyDescent="0.25">
      <c r="A14" s="280"/>
      <c r="B14" s="66">
        <v>1024</v>
      </c>
      <c r="C14" s="62" t="s">
        <v>24</v>
      </c>
      <c r="D14" s="86">
        <v>12</v>
      </c>
      <c r="E14" s="98">
        <v>6.5000000000000002E-2</v>
      </c>
      <c r="F14" s="41"/>
      <c r="G14" s="41"/>
      <c r="H14" s="45">
        <f t="shared" si="0"/>
        <v>0</v>
      </c>
      <c r="I14" s="45">
        <f t="shared" si="1"/>
        <v>0</v>
      </c>
      <c r="J14" s="60"/>
      <c r="K14" s="47">
        <f t="shared" si="2"/>
        <v>0</v>
      </c>
      <c r="L14" s="48">
        <f t="shared" si="3"/>
        <v>0</v>
      </c>
    </row>
    <row r="15" spans="1:12" x14ac:dyDescent="0.25">
      <c r="A15" s="280"/>
      <c r="B15" s="66">
        <v>1025</v>
      </c>
      <c r="C15" s="62" t="s">
        <v>25</v>
      </c>
      <c r="D15" s="86">
        <v>12</v>
      </c>
      <c r="E15" s="98">
        <v>6.5000000000000002E-2</v>
      </c>
      <c r="F15" s="41"/>
      <c r="G15" s="41"/>
      <c r="H15" s="45">
        <f t="shared" si="0"/>
        <v>0</v>
      </c>
      <c r="I15" s="45">
        <f t="shared" si="1"/>
        <v>0</v>
      </c>
      <c r="J15" s="60"/>
      <c r="K15" s="47">
        <f t="shared" si="2"/>
        <v>0</v>
      </c>
      <c r="L15" s="48">
        <f t="shared" si="3"/>
        <v>0</v>
      </c>
    </row>
    <row r="16" spans="1:12" s="1" customFormat="1" x14ac:dyDescent="0.25">
      <c r="A16" s="280"/>
      <c r="B16" s="66" t="s">
        <v>157</v>
      </c>
      <c r="C16" s="62" t="s">
        <v>158</v>
      </c>
      <c r="D16" s="86">
        <v>12</v>
      </c>
      <c r="E16" s="98">
        <v>6.5000000000000002E-2</v>
      </c>
      <c r="F16" s="41"/>
      <c r="G16" s="41"/>
      <c r="H16" s="45">
        <f t="shared" ref="H16" si="4">F16/1.12</f>
        <v>0</v>
      </c>
      <c r="I16" s="45">
        <f t="shared" ref="I16" si="5">G16/1.12</f>
        <v>0</v>
      </c>
      <c r="J16" s="60"/>
      <c r="K16" s="47">
        <f t="shared" ref="K16" si="6">J16/1.28</f>
        <v>0</v>
      </c>
      <c r="L16" s="48">
        <f t="shared" ref="L16" si="7">J16/1.4</f>
        <v>0</v>
      </c>
    </row>
    <row r="17" spans="1:12" x14ac:dyDescent="0.25">
      <c r="A17" s="280"/>
      <c r="B17" s="66" t="s">
        <v>6</v>
      </c>
      <c r="C17" s="62" t="s">
        <v>26</v>
      </c>
      <c r="D17" s="86">
        <v>12</v>
      </c>
      <c r="E17" s="98">
        <v>6.5000000000000002E-2</v>
      </c>
      <c r="F17" s="41"/>
      <c r="G17" s="41"/>
      <c r="H17" s="45">
        <f t="shared" si="0"/>
        <v>0</v>
      </c>
      <c r="I17" s="45">
        <f t="shared" si="1"/>
        <v>0</v>
      </c>
      <c r="J17" s="60"/>
      <c r="K17" s="47">
        <f t="shared" si="2"/>
        <v>0</v>
      </c>
      <c r="L17" s="48">
        <f t="shared" si="3"/>
        <v>0</v>
      </c>
    </row>
    <row r="18" spans="1:12" ht="15.75" thickBot="1" x14ac:dyDescent="0.3">
      <c r="A18" s="280"/>
      <c r="B18" s="167">
        <v>1038</v>
      </c>
      <c r="C18" s="168" t="s">
        <v>27</v>
      </c>
      <c r="D18" s="169">
        <v>24</v>
      </c>
      <c r="E18" s="170">
        <v>6.5000000000000002E-2</v>
      </c>
      <c r="F18" s="171"/>
      <c r="G18" s="171"/>
      <c r="H18" s="172">
        <f t="shared" si="0"/>
        <v>0</v>
      </c>
      <c r="I18" s="172">
        <f t="shared" si="1"/>
        <v>0</v>
      </c>
      <c r="J18" s="173"/>
      <c r="K18" s="174">
        <f t="shared" si="2"/>
        <v>0</v>
      </c>
      <c r="L18" s="175">
        <f t="shared" si="3"/>
        <v>0</v>
      </c>
    </row>
    <row r="19" spans="1:12" x14ac:dyDescent="0.25">
      <c r="A19" s="281" t="s">
        <v>8</v>
      </c>
      <c r="B19" s="68">
        <v>2100</v>
      </c>
      <c r="C19" s="63" t="s">
        <v>28</v>
      </c>
      <c r="D19" s="88">
        <v>6</v>
      </c>
      <c r="E19" s="97">
        <v>6.5000000000000002E-2</v>
      </c>
      <c r="F19" s="192"/>
      <c r="G19" s="40"/>
      <c r="H19" s="46">
        <f t="shared" si="0"/>
        <v>0</v>
      </c>
      <c r="I19" s="46">
        <f t="shared" si="1"/>
        <v>0</v>
      </c>
      <c r="J19" s="59"/>
      <c r="K19" s="73">
        <f t="shared" si="2"/>
        <v>0</v>
      </c>
      <c r="L19" s="74">
        <f t="shared" si="3"/>
        <v>0</v>
      </c>
    </row>
    <row r="20" spans="1:12" s="1" customFormat="1" x14ac:dyDescent="0.25">
      <c r="A20" s="282"/>
      <c r="B20" s="163">
        <v>2101</v>
      </c>
      <c r="C20" s="164" t="s">
        <v>156</v>
      </c>
      <c r="D20" s="165">
        <v>6</v>
      </c>
      <c r="E20" s="166">
        <v>6.5000000000000002E-2</v>
      </c>
      <c r="F20" s="191"/>
      <c r="G20" s="43"/>
      <c r="H20" s="45">
        <f t="shared" si="0"/>
        <v>0</v>
      </c>
      <c r="I20" s="45">
        <f t="shared" si="1"/>
        <v>0</v>
      </c>
      <c r="J20" s="110"/>
      <c r="K20" s="47">
        <f t="shared" si="2"/>
        <v>0</v>
      </c>
      <c r="L20" s="48">
        <f t="shared" si="3"/>
        <v>0</v>
      </c>
    </row>
    <row r="21" spans="1:12" s="1" customFormat="1" x14ac:dyDescent="0.25">
      <c r="A21" s="282"/>
      <c r="B21" s="163">
        <v>2102</v>
      </c>
      <c r="C21" s="164" t="s">
        <v>159</v>
      </c>
      <c r="D21" s="165">
        <v>6</v>
      </c>
      <c r="E21" s="100">
        <v>9.7500000000000003E-2</v>
      </c>
      <c r="F21" s="191"/>
      <c r="G21" s="43"/>
      <c r="H21" s="45">
        <f t="shared" ref="H21:H25" si="8">F21/1.12</f>
        <v>0</v>
      </c>
      <c r="I21" s="45">
        <f t="shared" ref="I21:I25" si="9">G21/1.12</f>
        <v>0</v>
      </c>
      <c r="J21" s="110"/>
      <c r="K21" s="47">
        <f t="shared" ref="K21:K25" si="10">J21/1.28</f>
        <v>0</v>
      </c>
      <c r="L21" s="48">
        <f t="shared" ref="L21:L25" si="11">J21/1.4</f>
        <v>0</v>
      </c>
    </row>
    <row r="22" spans="1:12" s="1" customFormat="1" x14ac:dyDescent="0.25">
      <c r="A22" s="282"/>
      <c r="B22" s="163">
        <v>2103</v>
      </c>
      <c r="C22" s="164" t="s">
        <v>160</v>
      </c>
      <c r="D22" s="165">
        <v>6</v>
      </c>
      <c r="E22" s="100">
        <v>9.7500000000000003E-2</v>
      </c>
      <c r="F22" s="191"/>
      <c r="G22" s="43"/>
      <c r="H22" s="45">
        <f t="shared" si="8"/>
        <v>0</v>
      </c>
      <c r="I22" s="45">
        <f t="shared" si="9"/>
        <v>0</v>
      </c>
      <c r="J22" s="110"/>
      <c r="K22" s="47">
        <f t="shared" si="10"/>
        <v>0</v>
      </c>
      <c r="L22" s="48">
        <f t="shared" si="11"/>
        <v>0</v>
      </c>
    </row>
    <row r="23" spans="1:12" s="1" customFormat="1" x14ac:dyDescent="0.25">
      <c r="A23" s="282"/>
      <c r="B23" s="163">
        <v>2104</v>
      </c>
      <c r="C23" s="164" t="s">
        <v>162</v>
      </c>
      <c r="D23" s="165">
        <v>12</v>
      </c>
      <c r="E23" s="166">
        <v>6.5000000000000002E-2</v>
      </c>
      <c r="F23" s="191"/>
      <c r="G23" s="43"/>
      <c r="H23" s="45">
        <f t="shared" si="8"/>
        <v>0</v>
      </c>
      <c r="I23" s="45">
        <f t="shared" si="9"/>
        <v>0</v>
      </c>
      <c r="J23" s="110"/>
      <c r="K23" s="47">
        <f t="shared" si="10"/>
        <v>0</v>
      </c>
      <c r="L23" s="48">
        <f t="shared" si="11"/>
        <v>0</v>
      </c>
    </row>
    <row r="24" spans="1:12" s="1" customFormat="1" x14ac:dyDescent="0.25">
      <c r="A24" s="282"/>
      <c r="B24" s="163">
        <v>2105</v>
      </c>
      <c r="C24" s="164" t="s">
        <v>161</v>
      </c>
      <c r="D24" s="165">
        <v>6</v>
      </c>
      <c r="E24" s="100">
        <v>9.7500000000000003E-2</v>
      </c>
      <c r="F24" s="191"/>
      <c r="G24" s="43"/>
      <c r="H24" s="45">
        <f t="shared" si="8"/>
        <v>0</v>
      </c>
      <c r="I24" s="45">
        <f t="shared" si="9"/>
        <v>0</v>
      </c>
      <c r="J24" s="110"/>
      <c r="K24" s="47">
        <f t="shared" si="10"/>
        <v>0</v>
      </c>
      <c r="L24" s="48">
        <f t="shared" si="11"/>
        <v>0</v>
      </c>
    </row>
    <row r="25" spans="1:12" s="1" customFormat="1" x14ac:dyDescent="0.25">
      <c r="A25" s="282"/>
      <c r="B25" s="163">
        <v>2106</v>
      </c>
      <c r="C25" s="164" t="s">
        <v>163</v>
      </c>
      <c r="D25" s="165">
        <v>12</v>
      </c>
      <c r="E25" s="100">
        <v>9.7500000000000003E-2</v>
      </c>
      <c r="F25" s="191"/>
      <c r="G25" s="43"/>
      <c r="H25" s="45">
        <f t="shared" si="8"/>
        <v>0</v>
      </c>
      <c r="I25" s="45">
        <f t="shared" si="9"/>
        <v>0</v>
      </c>
      <c r="J25" s="110"/>
      <c r="K25" s="47">
        <f t="shared" si="10"/>
        <v>0</v>
      </c>
      <c r="L25" s="48">
        <f t="shared" si="11"/>
        <v>0</v>
      </c>
    </row>
    <row r="26" spans="1:12" x14ac:dyDescent="0.25">
      <c r="A26" s="282"/>
      <c r="B26" s="66">
        <v>2139</v>
      </c>
      <c r="C26" s="61" t="s">
        <v>29</v>
      </c>
      <c r="D26" s="86">
        <v>12</v>
      </c>
      <c r="E26" s="100">
        <v>9.7500000000000003E-2</v>
      </c>
      <c r="F26" s="193"/>
      <c r="G26" s="41"/>
      <c r="H26" s="45">
        <f t="shared" si="0"/>
        <v>0</v>
      </c>
      <c r="I26" s="45">
        <f t="shared" si="1"/>
        <v>0</v>
      </c>
      <c r="J26" s="60"/>
      <c r="K26" s="47">
        <f t="shared" si="2"/>
        <v>0</v>
      </c>
      <c r="L26" s="48">
        <f t="shared" si="3"/>
        <v>0</v>
      </c>
    </row>
    <row r="27" spans="1:12" x14ac:dyDescent="0.25">
      <c r="A27" s="282"/>
      <c r="B27" s="66">
        <v>2140</v>
      </c>
      <c r="C27" s="61" t="s">
        <v>30</v>
      </c>
      <c r="D27" s="86">
        <v>24</v>
      </c>
      <c r="E27" s="100">
        <v>9.7500000000000003E-2</v>
      </c>
      <c r="F27" s="193"/>
      <c r="G27" s="41"/>
      <c r="H27" s="45">
        <f t="shared" si="0"/>
        <v>0</v>
      </c>
      <c r="I27" s="45">
        <f t="shared" si="1"/>
        <v>0</v>
      </c>
      <c r="J27" s="60"/>
      <c r="K27" s="47">
        <f t="shared" si="2"/>
        <v>0</v>
      </c>
      <c r="L27" s="48">
        <f t="shared" si="3"/>
        <v>0</v>
      </c>
    </row>
    <row r="28" spans="1:12" x14ac:dyDescent="0.25">
      <c r="A28" s="282"/>
      <c r="B28" s="66">
        <v>2141</v>
      </c>
      <c r="C28" s="61" t="s">
        <v>31</v>
      </c>
      <c r="D28" s="86">
        <v>12</v>
      </c>
      <c r="E28" s="100">
        <v>9.7500000000000003E-2</v>
      </c>
      <c r="F28" s="193"/>
      <c r="G28" s="41"/>
      <c r="H28" s="45">
        <f t="shared" si="0"/>
        <v>0</v>
      </c>
      <c r="I28" s="45">
        <f t="shared" si="1"/>
        <v>0</v>
      </c>
      <c r="J28" s="60"/>
      <c r="K28" s="47">
        <f t="shared" si="2"/>
        <v>0</v>
      </c>
      <c r="L28" s="48">
        <f t="shared" si="3"/>
        <v>0</v>
      </c>
    </row>
    <row r="29" spans="1:12" x14ac:dyDescent="0.25">
      <c r="A29" s="282"/>
      <c r="B29" s="66">
        <v>2142</v>
      </c>
      <c r="C29" s="61" t="s">
        <v>32</v>
      </c>
      <c r="D29" s="86">
        <v>12</v>
      </c>
      <c r="E29" s="100">
        <v>9.7500000000000003E-2</v>
      </c>
      <c r="F29" s="193"/>
      <c r="G29" s="41"/>
      <c r="H29" s="45">
        <f t="shared" si="0"/>
        <v>0</v>
      </c>
      <c r="I29" s="45">
        <f t="shared" si="1"/>
        <v>0</v>
      </c>
      <c r="J29" s="60"/>
      <c r="K29" s="47">
        <f t="shared" si="2"/>
        <v>0</v>
      </c>
      <c r="L29" s="48">
        <f t="shared" si="3"/>
        <v>0</v>
      </c>
    </row>
    <row r="30" spans="1:12" x14ac:dyDescent="0.25">
      <c r="A30" s="282"/>
      <c r="B30" s="66">
        <v>2143</v>
      </c>
      <c r="C30" s="61" t="s">
        <v>33</v>
      </c>
      <c r="D30" s="86">
        <v>12</v>
      </c>
      <c r="E30" s="100">
        <v>9.7500000000000003E-2</v>
      </c>
      <c r="F30" s="193"/>
      <c r="G30" s="41"/>
      <c r="H30" s="45">
        <f t="shared" si="0"/>
        <v>0</v>
      </c>
      <c r="I30" s="45">
        <f t="shared" si="1"/>
        <v>0</v>
      </c>
      <c r="J30" s="60"/>
      <c r="K30" s="47">
        <f t="shared" si="2"/>
        <v>0</v>
      </c>
      <c r="L30" s="48">
        <f t="shared" si="3"/>
        <v>0</v>
      </c>
    </row>
    <row r="31" spans="1:12" x14ac:dyDescent="0.25">
      <c r="A31" s="282"/>
      <c r="B31" s="66">
        <v>2144</v>
      </c>
      <c r="C31" s="61" t="s">
        <v>34</v>
      </c>
      <c r="D31" s="86">
        <v>12</v>
      </c>
      <c r="E31" s="100">
        <v>9.7500000000000003E-2</v>
      </c>
      <c r="F31" s="193"/>
      <c r="G31" s="41"/>
      <c r="H31" s="45">
        <f t="shared" si="0"/>
        <v>0</v>
      </c>
      <c r="I31" s="45">
        <f t="shared" si="1"/>
        <v>0</v>
      </c>
      <c r="J31" s="60"/>
      <c r="K31" s="47">
        <f t="shared" si="2"/>
        <v>0</v>
      </c>
      <c r="L31" s="48">
        <f t="shared" si="3"/>
        <v>0</v>
      </c>
    </row>
    <row r="32" spans="1:12" x14ac:dyDescent="0.25">
      <c r="A32" s="282"/>
      <c r="B32" s="66">
        <v>2145</v>
      </c>
      <c r="C32" s="61" t="s">
        <v>99</v>
      </c>
      <c r="D32" s="86">
        <v>12</v>
      </c>
      <c r="E32" s="100">
        <v>9.7500000000000003E-2</v>
      </c>
      <c r="F32" s="193"/>
      <c r="G32" s="41"/>
      <c r="H32" s="45">
        <f t="shared" si="0"/>
        <v>0</v>
      </c>
      <c r="I32" s="45">
        <f t="shared" si="1"/>
        <v>0</v>
      </c>
      <c r="J32" s="60"/>
      <c r="K32" s="47">
        <f t="shared" si="2"/>
        <v>0</v>
      </c>
      <c r="L32" s="48">
        <f t="shared" si="3"/>
        <v>0</v>
      </c>
    </row>
    <row r="33" spans="1:12" x14ac:dyDescent="0.25">
      <c r="A33" s="282"/>
      <c r="B33" s="66">
        <v>2146</v>
      </c>
      <c r="C33" s="61" t="s">
        <v>35</v>
      </c>
      <c r="D33" s="86">
        <v>12</v>
      </c>
      <c r="E33" s="100">
        <v>9.7500000000000003E-2</v>
      </c>
      <c r="F33" s="193"/>
      <c r="G33" s="41"/>
      <c r="H33" s="45">
        <f t="shared" si="0"/>
        <v>0</v>
      </c>
      <c r="I33" s="45">
        <f t="shared" si="1"/>
        <v>0</v>
      </c>
      <c r="J33" s="60"/>
      <c r="K33" s="47">
        <f t="shared" si="2"/>
        <v>0</v>
      </c>
      <c r="L33" s="48">
        <f t="shared" si="3"/>
        <v>0</v>
      </c>
    </row>
    <row r="34" spans="1:12" x14ac:dyDescent="0.25">
      <c r="A34" s="282"/>
      <c r="B34" s="66">
        <v>2147</v>
      </c>
      <c r="C34" s="61" t="s">
        <v>36</v>
      </c>
      <c r="D34" s="86">
        <v>12</v>
      </c>
      <c r="E34" s="98">
        <v>6.5000000000000002E-2</v>
      </c>
      <c r="F34" s="193"/>
      <c r="G34" s="41"/>
      <c r="H34" s="45">
        <f t="shared" si="0"/>
        <v>0</v>
      </c>
      <c r="I34" s="45">
        <f t="shared" si="1"/>
        <v>0</v>
      </c>
      <c r="J34" s="60"/>
      <c r="K34" s="47">
        <f t="shared" si="2"/>
        <v>0</v>
      </c>
      <c r="L34" s="48">
        <f t="shared" si="3"/>
        <v>0</v>
      </c>
    </row>
    <row r="35" spans="1:12" x14ac:dyDescent="0.25">
      <c r="A35" s="282"/>
      <c r="B35" s="66">
        <v>2148</v>
      </c>
      <c r="C35" s="61" t="s">
        <v>37</v>
      </c>
      <c r="D35" s="86">
        <v>24</v>
      </c>
      <c r="E35" s="98">
        <v>6.5000000000000002E-2</v>
      </c>
      <c r="F35" s="193"/>
      <c r="G35" s="41"/>
      <c r="H35" s="45">
        <f t="shared" si="0"/>
        <v>0</v>
      </c>
      <c r="I35" s="45">
        <f t="shared" si="1"/>
        <v>0</v>
      </c>
      <c r="J35" s="60"/>
      <c r="K35" s="47">
        <f t="shared" si="2"/>
        <v>0</v>
      </c>
      <c r="L35" s="48">
        <f t="shared" si="3"/>
        <v>0</v>
      </c>
    </row>
    <row r="36" spans="1:12" x14ac:dyDescent="0.25">
      <c r="A36" s="282"/>
      <c r="B36" s="66">
        <v>2149</v>
      </c>
      <c r="C36" s="61" t="s">
        <v>38</v>
      </c>
      <c r="D36" s="86">
        <v>24</v>
      </c>
      <c r="E36" s="98">
        <v>6.5000000000000002E-2</v>
      </c>
      <c r="F36" s="193"/>
      <c r="G36" s="41"/>
      <c r="H36" s="45">
        <f t="shared" si="0"/>
        <v>0</v>
      </c>
      <c r="I36" s="45">
        <f t="shared" si="1"/>
        <v>0</v>
      </c>
      <c r="J36" s="60"/>
      <c r="K36" s="47">
        <f t="shared" si="2"/>
        <v>0</v>
      </c>
      <c r="L36" s="48">
        <f t="shared" si="3"/>
        <v>0</v>
      </c>
    </row>
    <row r="37" spans="1:12" x14ac:dyDescent="0.25">
      <c r="A37" s="282"/>
      <c r="B37" s="66">
        <v>2150</v>
      </c>
      <c r="C37" s="61" t="s">
        <v>39</v>
      </c>
      <c r="D37" s="86">
        <v>12</v>
      </c>
      <c r="E37" s="100">
        <v>9.7500000000000003E-2</v>
      </c>
      <c r="F37" s="193"/>
      <c r="G37" s="41"/>
      <c r="H37" s="45">
        <f t="shared" si="0"/>
        <v>0</v>
      </c>
      <c r="I37" s="45">
        <f t="shared" si="1"/>
        <v>0</v>
      </c>
      <c r="J37" s="60"/>
      <c r="K37" s="47">
        <f t="shared" si="2"/>
        <v>0</v>
      </c>
      <c r="L37" s="48">
        <f t="shared" si="3"/>
        <v>0</v>
      </c>
    </row>
    <row r="38" spans="1:12" x14ac:dyDescent="0.25">
      <c r="A38" s="282"/>
      <c r="B38" s="66">
        <v>2151</v>
      </c>
      <c r="C38" s="61" t="s">
        <v>100</v>
      </c>
      <c r="D38" s="86">
        <v>12</v>
      </c>
      <c r="E38" s="100">
        <v>6.5000000000000002E-2</v>
      </c>
      <c r="F38" s="193"/>
      <c r="G38" s="41"/>
      <c r="H38" s="45">
        <f t="shared" si="0"/>
        <v>0</v>
      </c>
      <c r="I38" s="45">
        <f t="shared" si="1"/>
        <v>0</v>
      </c>
      <c r="J38" s="60"/>
      <c r="K38" s="47">
        <f t="shared" si="2"/>
        <v>0</v>
      </c>
      <c r="L38" s="48">
        <f t="shared" si="3"/>
        <v>0</v>
      </c>
    </row>
    <row r="39" spans="1:12" x14ac:dyDescent="0.25">
      <c r="A39" s="282"/>
      <c r="B39" s="66">
        <v>2513</v>
      </c>
      <c r="C39" s="61" t="s">
        <v>40</v>
      </c>
      <c r="D39" s="86">
        <v>12</v>
      </c>
      <c r="E39" s="98">
        <v>6.5000000000000002E-2</v>
      </c>
      <c r="F39" s="193"/>
      <c r="G39" s="41"/>
      <c r="H39" s="45">
        <f t="shared" si="0"/>
        <v>0</v>
      </c>
      <c r="I39" s="45">
        <f t="shared" si="1"/>
        <v>0</v>
      </c>
      <c r="J39" s="60"/>
      <c r="K39" s="47">
        <f t="shared" si="2"/>
        <v>0</v>
      </c>
      <c r="L39" s="48">
        <f t="shared" si="3"/>
        <v>0</v>
      </c>
    </row>
    <row r="40" spans="1:12" x14ac:dyDescent="0.25">
      <c r="A40" s="282"/>
      <c r="B40" s="66">
        <v>2601</v>
      </c>
      <c r="C40" s="61" t="s">
        <v>41</v>
      </c>
      <c r="D40" s="86">
        <v>12</v>
      </c>
      <c r="E40" s="100">
        <v>9.7500000000000003E-2</v>
      </c>
      <c r="F40" s="193"/>
      <c r="G40" s="41"/>
      <c r="H40" s="45">
        <f t="shared" si="0"/>
        <v>0</v>
      </c>
      <c r="I40" s="45">
        <f t="shared" si="1"/>
        <v>0</v>
      </c>
      <c r="J40" s="60"/>
      <c r="K40" s="47">
        <f t="shared" si="2"/>
        <v>0</v>
      </c>
      <c r="L40" s="48">
        <f t="shared" si="3"/>
        <v>0</v>
      </c>
    </row>
    <row r="41" spans="1:12" x14ac:dyDescent="0.25">
      <c r="A41" s="282"/>
      <c r="B41" s="66">
        <v>2602</v>
      </c>
      <c r="C41" s="61" t="s">
        <v>42</v>
      </c>
      <c r="D41" s="86">
        <v>12</v>
      </c>
      <c r="E41" s="100">
        <v>9.7500000000000003E-2</v>
      </c>
      <c r="F41" s="193"/>
      <c r="G41" s="41"/>
      <c r="H41" s="45">
        <f t="shared" si="0"/>
        <v>0</v>
      </c>
      <c r="I41" s="45">
        <f t="shared" si="1"/>
        <v>0</v>
      </c>
      <c r="J41" s="60"/>
      <c r="K41" s="47">
        <f t="shared" si="2"/>
        <v>0</v>
      </c>
      <c r="L41" s="48">
        <f t="shared" si="3"/>
        <v>0</v>
      </c>
    </row>
    <row r="42" spans="1:12" x14ac:dyDescent="0.25">
      <c r="A42" s="282"/>
      <c r="B42" s="66">
        <v>2701</v>
      </c>
      <c r="C42" s="61" t="s">
        <v>43</v>
      </c>
      <c r="D42" s="86">
        <v>12</v>
      </c>
      <c r="E42" s="100">
        <v>9.7500000000000003E-2</v>
      </c>
      <c r="F42" s="193"/>
      <c r="G42" s="41"/>
      <c r="H42" s="45">
        <f t="shared" si="0"/>
        <v>0</v>
      </c>
      <c r="I42" s="45">
        <f t="shared" si="1"/>
        <v>0</v>
      </c>
      <c r="J42" s="60"/>
      <c r="K42" s="47">
        <f t="shared" si="2"/>
        <v>0</v>
      </c>
      <c r="L42" s="48">
        <f t="shared" si="3"/>
        <v>0</v>
      </c>
    </row>
    <row r="43" spans="1:12" x14ac:dyDescent="0.25">
      <c r="A43" s="282"/>
      <c r="B43" s="66">
        <v>2702</v>
      </c>
      <c r="C43" s="61" t="s">
        <v>44</v>
      </c>
      <c r="D43" s="86">
        <v>12</v>
      </c>
      <c r="E43" s="100">
        <v>9.7500000000000003E-2</v>
      </c>
      <c r="F43" s="193"/>
      <c r="G43" s="41"/>
      <c r="H43" s="45">
        <f t="shared" si="0"/>
        <v>0</v>
      </c>
      <c r="I43" s="45">
        <f t="shared" si="1"/>
        <v>0</v>
      </c>
      <c r="J43" s="60"/>
      <c r="K43" s="47">
        <f t="shared" si="2"/>
        <v>0</v>
      </c>
      <c r="L43" s="48">
        <f t="shared" si="3"/>
        <v>0</v>
      </c>
    </row>
    <row r="44" spans="1:12" x14ac:dyDescent="0.25">
      <c r="A44" s="282"/>
      <c r="B44" s="66">
        <v>2703</v>
      </c>
      <c r="C44" s="61" t="s">
        <v>45</v>
      </c>
      <c r="D44" s="86">
        <v>12</v>
      </c>
      <c r="E44" s="100">
        <v>9.7500000000000003E-2</v>
      </c>
      <c r="F44" s="193"/>
      <c r="G44" s="41"/>
      <c r="H44" s="45">
        <f t="shared" si="0"/>
        <v>0</v>
      </c>
      <c r="I44" s="45">
        <f t="shared" si="1"/>
        <v>0</v>
      </c>
      <c r="J44" s="60"/>
      <c r="K44" s="47">
        <f t="shared" si="2"/>
        <v>0</v>
      </c>
      <c r="L44" s="48">
        <f t="shared" si="3"/>
        <v>0</v>
      </c>
    </row>
    <row r="45" spans="1:12" x14ac:dyDescent="0.25">
      <c r="A45" s="282"/>
      <c r="B45" s="66">
        <v>2750</v>
      </c>
      <c r="C45" s="61" t="s">
        <v>101</v>
      </c>
      <c r="D45" s="86">
        <v>8</v>
      </c>
      <c r="E45" s="98">
        <v>6.5000000000000002E-2</v>
      </c>
      <c r="F45" s="193"/>
      <c r="G45" s="41"/>
      <c r="H45" s="45">
        <f t="shared" si="0"/>
        <v>0</v>
      </c>
      <c r="I45" s="45">
        <f t="shared" si="1"/>
        <v>0</v>
      </c>
      <c r="J45" s="60"/>
      <c r="K45" s="47">
        <f t="shared" si="2"/>
        <v>0</v>
      </c>
      <c r="L45" s="48">
        <f t="shared" si="3"/>
        <v>0</v>
      </c>
    </row>
    <row r="46" spans="1:12" x14ac:dyDescent="0.25">
      <c r="A46" s="282"/>
      <c r="B46" s="66">
        <v>2751</v>
      </c>
      <c r="C46" s="61" t="s">
        <v>46</v>
      </c>
      <c r="D46" s="86">
        <v>12</v>
      </c>
      <c r="E46" s="100">
        <v>9.7500000000000003E-2</v>
      </c>
      <c r="F46" s="193"/>
      <c r="G46" s="41"/>
      <c r="H46" s="45">
        <f t="shared" si="0"/>
        <v>0</v>
      </c>
      <c r="I46" s="45">
        <f t="shared" si="1"/>
        <v>0</v>
      </c>
      <c r="J46" s="60"/>
      <c r="K46" s="47">
        <f t="shared" si="2"/>
        <v>0</v>
      </c>
      <c r="L46" s="48">
        <f t="shared" si="3"/>
        <v>0</v>
      </c>
    </row>
    <row r="47" spans="1:12" x14ac:dyDescent="0.25">
      <c r="A47" s="282"/>
      <c r="B47" s="66">
        <v>2752</v>
      </c>
      <c r="C47" s="61" t="s">
        <v>102</v>
      </c>
      <c r="D47" s="86">
        <v>24</v>
      </c>
      <c r="E47" s="98">
        <v>6.5000000000000002E-2</v>
      </c>
      <c r="F47" s="193"/>
      <c r="G47" s="41"/>
      <c r="H47" s="45">
        <f t="shared" si="0"/>
        <v>0</v>
      </c>
      <c r="I47" s="45">
        <f t="shared" si="1"/>
        <v>0</v>
      </c>
      <c r="J47" s="60"/>
      <c r="K47" s="47">
        <f t="shared" si="2"/>
        <v>0</v>
      </c>
      <c r="L47" s="48">
        <f t="shared" si="3"/>
        <v>0</v>
      </c>
    </row>
    <row r="48" spans="1:12" x14ac:dyDescent="0.25">
      <c r="A48" s="282"/>
      <c r="B48" s="66">
        <v>2753</v>
      </c>
      <c r="C48" s="61" t="s">
        <v>103</v>
      </c>
      <c r="D48" s="86">
        <v>12</v>
      </c>
      <c r="E48" s="98">
        <v>6.5000000000000002E-2</v>
      </c>
      <c r="F48" s="193"/>
      <c r="G48" s="41"/>
      <c r="H48" s="45">
        <f t="shared" si="0"/>
        <v>0</v>
      </c>
      <c r="I48" s="45">
        <f t="shared" si="1"/>
        <v>0</v>
      </c>
      <c r="J48" s="60"/>
      <c r="K48" s="47">
        <f t="shared" si="2"/>
        <v>0</v>
      </c>
      <c r="L48" s="48">
        <f t="shared" si="3"/>
        <v>0</v>
      </c>
    </row>
    <row r="49" spans="1:12" x14ac:dyDescent="0.25">
      <c r="A49" s="282"/>
      <c r="B49" s="66">
        <v>2754</v>
      </c>
      <c r="C49" s="61" t="s">
        <v>104</v>
      </c>
      <c r="D49" s="86">
        <v>36</v>
      </c>
      <c r="E49" s="100">
        <v>9.7500000000000003E-2</v>
      </c>
      <c r="F49" s="193"/>
      <c r="G49" s="41"/>
      <c r="H49" s="45">
        <f t="shared" si="0"/>
        <v>0</v>
      </c>
      <c r="I49" s="45">
        <f t="shared" si="1"/>
        <v>0</v>
      </c>
      <c r="J49" s="60"/>
      <c r="K49" s="47">
        <f t="shared" si="2"/>
        <v>0</v>
      </c>
      <c r="L49" s="48">
        <f t="shared" si="3"/>
        <v>0</v>
      </c>
    </row>
    <row r="50" spans="1:12" x14ac:dyDescent="0.25">
      <c r="A50" s="282"/>
      <c r="B50" s="66">
        <v>2755</v>
      </c>
      <c r="C50" s="61" t="s">
        <v>105</v>
      </c>
      <c r="D50" s="86">
        <v>12</v>
      </c>
      <c r="E50" s="100">
        <v>9.7500000000000003E-2</v>
      </c>
      <c r="F50" s="193"/>
      <c r="G50" s="41"/>
      <c r="H50" s="45">
        <f t="shared" si="0"/>
        <v>0</v>
      </c>
      <c r="I50" s="45">
        <f t="shared" si="1"/>
        <v>0</v>
      </c>
      <c r="J50" s="60"/>
      <c r="K50" s="47">
        <f t="shared" si="2"/>
        <v>0</v>
      </c>
      <c r="L50" s="48">
        <f t="shared" si="3"/>
        <v>0</v>
      </c>
    </row>
    <row r="51" spans="1:12" ht="15.75" thickBot="1" x14ac:dyDescent="0.3">
      <c r="A51" s="282"/>
      <c r="B51" s="66">
        <v>2802</v>
      </c>
      <c r="C51" s="61" t="s">
        <v>47</v>
      </c>
      <c r="D51" s="86">
        <v>6</v>
      </c>
      <c r="E51" s="101">
        <v>9.7500000000000003E-2</v>
      </c>
      <c r="F51" s="193"/>
      <c r="G51" s="41"/>
      <c r="H51" s="45">
        <f t="shared" si="0"/>
        <v>0</v>
      </c>
      <c r="I51" s="45">
        <f t="shared" si="1"/>
        <v>0</v>
      </c>
      <c r="J51" s="60"/>
      <c r="K51" s="47">
        <f t="shared" si="2"/>
        <v>0</v>
      </c>
      <c r="L51" s="48">
        <f t="shared" si="3"/>
        <v>0</v>
      </c>
    </row>
    <row r="52" spans="1:12" x14ac:dyDescent="0.25">
      <c r="A52" s="283" t="s">
        <v>9</v>
      </c>
      <c r="B52" s="78">
        <v>3901</v>
      </c>
      <c r="C52" s="81" t="s">
        <v>48</v>
      </c>
      <c r="D52" s="89">
        <v>12</v>
      </c>
      <c r="E52" s="102">
        <v>6.5000000000000002E-2</v>
      </c>
      <c r="F52" s="40"/>
      <c r="G52" s="40"/>
      <c r="H52" s="46">
        <f t="shared" si="0"/>
        <v>0</v>
      </c>
      <c r="I52" s="46">
        <f t="shared" si="1"/>
        <v>0</v>
      </c>
      <c r="J52" s="59"/>
      <c r="K52" s="73">
        <f t="shared" si="2"/>
        <v>0</v>
      </c>
      <c r="L52" s="74">
        <f t="shared" si="3"/>
        <v>0</v>
      </c>
    </row>
    <row r="53" spans="1:12" x14ac:dyDescent="0.25">
      <c r="A53" s="284"/>
      <c r="B53" s="79">
        <v>3905</v>
      </c>
      <c r="C53" s="70" t="s">
        <v>49</v>
      </c>
      <c r="D53" s="90">
        <v>24</v>
      </c>
      <c r="E53" s="98">
        <v>6.5000000000000002E-2</v>
      </c>
      <c r="F53" s="41"/>
      <c r="G53" s="41"/>
      <c r="H53" s="45">
        <f t="shared" si="0"/>
        <v>0</v>
      </c>
      <c r="I53" s="45">
        <f t="shared" si="1"/>
        <v>0</v>
      </c>
      <c r="J53" s="60"/>
      <c r="K53" s="47">
        <f t="shared" si="2"/>
        <v>0</v>
      </c>
      <c r="L53" s="48">
        <f t="shared" si="3"/>
        <v>0</v>
      </c>
    </row>
    <row r="54" spans="1:12" x14ac:dyDescent="0.25">
      <c r="A54" s="284"/>
      <c r="B54" s="79">
        <v>3907</v>
      </c>
      <c r="C54" s="82" t="s">
        <v>50</v>
      </c>
      <c r="D54" s="91">
        <v>12</v>
      </c>
      <c r="E54" s="98">
        <v>6.5000000000000002E-2</v>
      </c>
      <c r="F54" s="41"/>
      <c r="G54" s="41"/>
      <c r="H54" s="45">
        <f t="shared" si="0"/>
        <v>0</v>
      </c>
      <c r="I54" s="45">
        <f t="shared" si="1"/>
        <v>0</v>
      </c>
      <c r="J54" s="60"/>
      <c r="K54" s="47">
        <f t="shared" si="2"/>
        <v>0</v>
      </c>
      <c r="L54" s="48">
        <f t="shared" si="3"/>
        <v>0</v>
      </c>
    </row>
    <row r="55" spans="1:12" x14ac:dyDescent="0.25">
      <c r="A55" s="284"/>
      <c r="B55" s="79">
        <v>3952</v>
      </c>
      <c r="C55" s="70" t="s">
        <v>51</v>
      </c>
      <c r="D55" s="90">
        <v>6</v>
      </c>
      <c r="E55" s="98">
        <v>6.5000000000000002E-2</v>
      </c>
      <c r="F55" s="41"/>
      <c r="G55" s="41"/>
      <c r="H55" s="45">
        <f t="shared" si="0"/>
        <v>0</v>
      </c>
      <c r="I55" s="45">
        <f t="shared" si="1"/>
        <v>0</v>
      </c>
      <c r="J55" s="60"/>
      <c r="K55" s="47">
        <f t="shared" si="2"/>
        <v>0</v>
      </c>
      <c r="L55" s="48">
        <f t="shared" si="3"/>
        <v>0</v>
      </c>
    </row>
    <row r="56" spans="1:12" x14ac:dyDescent="0.25">
      <c r="A56" s="284"/>
      <c r="B56" s="79">
        <v>3953</v>
      </c>
      <c r="C56" s="70" t="s">
        <v>52</v>
      </c>
      <c r="D56" s="90">
        <v>6</v>
      </c>
      <c r="E56" s="98">
        <v>6.5000000000000002E-2</v>
      </c>
      <c r="F56" s="41"/>
      <c r="G56" s="41"/>
      <c r="H56" s="45">
        <f t="shared" si="0"/>
        <v>0</v>
      </c>
      <c r="I56" s="45">
        <f t="shared" si="1"/>
        <v>0</v>
      </c>
      <c r="J56" s="60"/>
      <c r="K56" s="47">
        <f t="shared" si="2"/>
        <v>0</v>
      </c>
      <c r="L56" s="48">
        <f t="shared" si="3"/>
        <v>0</v>
      </c>
    </row>
    <row r="57" spans="1:12" s="1" customFormat="1" x14ac:dyDescent="0.25">
      <c r="A57" s="285"/>
      <c r="B57" s="185">
        <v>3954</v>
      </c>
      <c r="C57" s="186" t="s">
        <v>53</v>
      </c>
      <c r="D57" s="90">
        <v>12</v>
      </c>
      <c r="E57" s="98">
        <v>6.5000000000000002E-2</v>
      </c>
      <c r="F57" s="41"/>
      <c r="G57" s="41"/>
      <c r="H57" s="45">
        <f t="shared" ref="H57:H59" si="12">F57/1.12</f>
        <v>0</v>
      </c>
      <c r="I57" s="45">
        <f t="shared" ref="I57:I59" si="13">G57/1.12</f>
        <v>0</v>
      </c>
      <c r="J57" s="60"/>
      <c r="K57" s="47">
        <f t="shared" ref="K57:K59" si="14">J57/1.28</f>
        <v>0</v>
      </c>
      <c r="L57" s="48">
        <f t="shared" ref="L57:L59" si="15">J57/1.4</f>
        <v>0</v>
      </c>
    </row>
    <row r="58" spans="1:12" s="1" customFormat="1" x14ac:dyDescent="0.25">
      <c r="A58" s="285"/>
      <c r="B58" s="185">
        <v>3955</v>
      </c>
      <c r="C58" s="186" t="s">
        <v>164</v>
      </c>
      <c r="D58" s="90">
        <v>12</v>
      </c>
      <c r="E58" s="98">
        <v>6.5000000000000002E-2</v>
      </c>
      <c r="F58" s="41"/>
      <c r="G58" s="41"/>
      <c r="H58" s="45">
        <f t="shared" si="12"/>
        <v>0</v>
      </c>
      <c r="I58" s="45">
        <f t="shared" si="13"/>
        <v>0</v>
      </c>
      <c r="J58" s="60"/>
      <c r="K58" s="47">
        <f t="shared" si="14"/>
        <v>0</v>
      </c>
      <c r="L58" s="48">
        <f t="shared" si="15"/>
        <v>0</v>
      </c>
    </row>
    <row r="59" spans="1:12" s="1" customFormat="1" x14ac:dyDescent="0.25">
      <c r="A59" s="285"/>
      <c r="B59" s="185">
        <v>3956</v>
      </c>
      <c r="C59" s="186" t="s">
        <v>165</v>
      </c>
      <c r="D59" s="90">
        <v>12</v>
      </c>
      <c r="E59" s="98">
        <v>6.5000000000000002E-2</v>
      </c>
      <c r="F59" s="41"/>
      <c r="G59" s="41"/>
      <c r="H59" s="45">
        <f t="shared" si="12"/>
        <v>0</v>
      </c>
      <c r="I59" s="45">
        <f t="shared" si="13"/>
        <v>0</v>
      </c>
      <c r="J59" s="60"/>
      <c r="K59" s="47">
        <f t="shared" si="14"/>
        <v>0</v>
      </c>
      <c r="L59" s="48">
        <f t="shared" si="15"/>
        <v>0</v>
      </c>
    </row>
    <row r="60" spans="1:12" ht="15.75" thickBot="1" x14ac:dyDescent="0.3">
      <c r="A60" s="286"/>
      <c r="B60" s="80">
        <v>3957</v>
      </c>
      <c r="C60" s="83" t="s">
        <v>166</v>
      </c>
      <c r="D60" s="92">
        <v>9</v>
      </c>
      <c r="E60" s="103">
        <v>6.5000000000000002E-2</v>
      </c>
      <c r="F60" s="42"/>
      <c r="G60" s="42"/>
      <c r="H60" s="128">
        <f t="shared" si="0"/>
        <v>0</v>
      </c>
      <c r="I60" s="128">
        <f t="shared" si="1"/>
        <v>0</v>
      </c>
      <c r="J60" s="190"/>
      <c r="K60" s="121">
        <f t="shared" si="2"/>
        <v>0</v>
      </c>
      <c r="L60" s="120">
        <f t="shared" si="3"/>
        <v>0</v>
      </c>
    </row>
    <row r="61" spans="1:12" x14ac:dyDescent="0.25">
      <c r="A61" s="287" t="s">
        <v>10</v>
      </c>
      <c r="B61" s="65">
        <v>4000</v>
      </c>
      <c r="C61" s="71" t="s">
        <v>167</v>
      </c>
      <c r="D61" s="85">
        <v>12</v>
      </c>
      <c r="E61" s="97">
        <v>6.5000000000000002E-2</v>
      </c>
      <c r="F61" s="40"/>
      <c r="G61" s="40"/>
      <c r="H61" s="46">
        <f t="shared" si="0"/>
        <v>0</v>
      </c>
      <c r="I61" s="46">
        <f t="shared" si="1"/>
        <v>0</v>
      </c>
      <c r="J61" s="59"/>
      <c r="K61" s="73">
        <f t="shared" si="2"/>
        <v>0</v>
      </c>
      <c r="L61" s="74">
        <f t="shared" si="3"/>
        <v>0</v>
      </c>
    </row>
    <row r="62" spans="1:12" s="1" customFormat="1" x14ac:dyDescent="0.25">
      <c r="A62" s="288"/>
      <c r="B62" s="187">
        <v>4001</v>
      </c>
      <c r="C62" s="188" t="s">
        <v>54</v>
      </c>
      <c r="D62" s="189">
        <v>24</v>
      </c>
      <c r="E62" s="166">
        <v>6.5000000000000002E-2</v>
      </c>
      <c r="F62" s="43"/>
      <c r="G62" s="43"/>
      <c r="H62" s="45">
        <f t="shared" ref="H62" si="16">F62/1.12</f>
        <v>0</v>
      </c>
      <c r="I62" s="45">
        <f t="shared" ref="I62" si="17">G62/1.12</f>
        <v>0</v>
      </c>
      <c r="J62" s="60"/>
      <c r="K62" s="47">
        <f t="shared" ref="K62" si="18">J62/1.28</f>
        <v>0</v>
      </c>
      <c r="L62" s="48">
        <f t="shared" ref="L62" si="19">J62/1.4</f>
        <v>0</v>
      </c>
    </row>
    <row r="63" spans="1:12" x14ac:dyDescent="0.25">
      <c r="A63" s="288"/>
      <c r="B63" s="66">
        <v>4002</v>
      </c>
      <c r="C63" s="61" t="s">
        <v>55</v>
      </c>
      <c r="D63" s="86">
        <v>12</v>
      </c>
      <c r="E63" s="98">
        <v>6.5000000000000002E-2</v>
      </c>
      <c r="F63" s="41"/>
      <c r="G63" s="41"/>
      <c r="H63" s="45">
        <f t="shared" si="0"/>
        <v>0</v>
      </c>
      <c r="I63" s="45">
        <f t="shared" si="1"/>
        <v>0</v>
      </c>
      <c r="J63" s="60"/>
      <c r="K63" s="47">
        <f t="shared" si="2"/>
        <v>0</v>
      </c>
      <c r="L63" s="48">
        <f t="shared" si="3"/>
        <v>0</v>
      </c>
    </row>
    <row r="64" spans="1:12" x14ac:dyDescent="0.25">
      <c r="A64" s="288"/>
      <c r="B64" s="66">
        <v>4003</v>
      </c>
      <c r="C64" s="61" t="s">
        <v>56</v>
      </c>
      <c r="D64" s="86">
        <v>12</v>
      </c>
      <c r="E64" s="98">
        <v>6.5000000000000002E-2</v>
      </c>
      <c r="F64" s="41"/>
      <c r="G64" s="41"/>
      <c r="H64" s="45">
        <f t="shared" si="0"/>
        <v>0</v>
      </c>
      <c r="I64" s="45">
        <f t="shared" si="1"/>
        <v>0</v>
      </c>
      <c r="J64" s="60"/>
      <c r="K64" s="47">
        <f t="shared" si="2"/>
        <v>0</v>
      </c>
      <c r="L64" s="48">
        <f t="shared" si="3"/>
        <v>0</v>
      </c>
    </row>
    <row r="65" spans="1:12" x14ac:dyDescent="0.25">
      <c r="A65" s="288"/>
      <c r="B65" s="66">
        <v>4013</v>
      </c>
      <c r="C65" s="61" t="s">
        <v>57</v>
      </c>
      <c r="D65" s="86">
        <v>24</v>
      </c>
      <c r="E65" s="98">
        <v>6.5000000000000002E-2</v>
      </c>
      <c r="F65" s="41"/>
      <c r="G65" s="41"/>
      <c r="H65" s="45">
        <f t="shared" si="0"/>
        <v>0</v>
      </c>
      <c r="I65" s="45">
        <f t="shared" si="1"/>
        <v>0</v>
      </c>
      <c r="J65" s="60"/>
      <c r="K65" s="47">
        <f t="shared" si="2"/>
        <v>0</v>
      </c>
      <c r="L65" s="48">
        <f t="shared" si="3"/>
        <v>0</v>
      </c>
    </row>
    <row r="66" spans="1:12" x14ac:dyDescent="0.25">
      <c r="A66" s="288"/>
      <c r="B66" s="66">
        <v>4016</v>
      </c>
      <c r="C66" s="61" t="s">
        <v>58</v>
      </c>
      <c r="D66" s="86">
        <v>12</v>
      </c>
      <c r="E66" s="98">
        <v>6.5000000000000002E-2</v>
      </c>
      <c r="F66" s="41"/>
      <c r="G66" s="41"/>
      <c r="H66" s="45">
        <f t="shared" si="0"/>
        <v>0</v>
      </c>
      <c r="I66" s="45">
        <f t="shared" si="1"/>
        <v>0</v>
      </c>
      <c r="J66" s="60"/>
      <c r="K66" s="47">
        <f t="shared" si="2"/>
        <v>0</v>
      </c>
      <c r="L66" s="48">
        <f t="shared" si="3"/>
        <v>0</v>
      </c>
    </row>
    <row r="67" spans="1:12" x14ac:dyDescent="0.25">
      <c r="A67" s="288"/>
      <c r="B67" s="66">
        <v>4017</v>
      </c>
      <c r="C67" s="61" t="s">
        <v>59</v>
      </c>
      <c r="D67" s="86">
        <v>12</v>
      </c>
      <c r="E67" s="98">
        <v>6.5000000000000002E-2</v>
      </c>
      <c r="F67" s="41"/>
      <c r="G67" s="41"/>
      <c r="H67" s="45">
        <f t="shared" ref="H67:H106" si="20">F67/1.12</f>
        <v>0</v>
      </c>
      <c r="I67" s="45">
        <f t="shared" ref="I67:I106" si="21">G67/1.12</f>
        <v>0</v>
      </c>
      <c r="J67" s="60"/>
      <c r="K67" s="47">
        <f t="shared" ref="K67:K106" si="22">J67/1.28</f>
        <v>0</v>
      </c>
      <c r="L67" s="48">
        <f t="shared" ref="L67:L106" si="23">J67/1.4</f>
        <v>0</v>
      </c>
    </row>
    <row r="68" spans="1:12" x14ac:dyDescent="0.25">
      <c r="A68" s="288"/>
      <c r="B68" s="66">
        <v>4019</v>
      </c>
      <c r="C68" s="61" t="s">
        <v>60</v>
      </c>
      <c r="D68" s="86">
        <v>6</v>
      </c>
      <c r="E68" s="98">
        <v>6.5000000000000002E-2</v>
      </c>
      <c r="F68" s="41"/>
      <c r="G68" s="41"/>
      <c r="H68" s="45">
        <f t="shared" si="20"/>
        <v>0</v>
      </c>
      <c r="I68" s="45">
        <f t="shared" si="21"/>
        <v>0</v>
      </c>
      <c r="J68" s="60"/>
      <c r="K68" s="47">
        <f t="shared" si="22"/>
        <v>0</v>
      </c>
      <c r="L68" s="48">
        <f t="shared" si="23"/>
        <v>0</v>
      </c>
    </row>
    <row r="69" spans="1:12" x14ac:dyDescent="0.25">
      <c r="A69" s="288"/>
      <c r="B69" s="66">
        <v>4020</v>
      </c>
      <c r="C69" s="61" t="s">
        <v>61</v>
      </c>
      <c r="D69" s="86">
        <v>24</v>
      </c>
      <c r="E69" s="98">
        <v>6.5000000000000002E-2</v>
      </c>
      <c r="F69" s="41"/>
      <c r="G69" s="41"/>
      <c r="H69" s="45">
        <f t="shared" si="20"/>
        <v>0</v>
      </c>
      <c r="I69" s="45">
        <f t="shared" si="21"/>
        <v>0</v>
      </c>
      <c r="J69" s="60"/>
      <c r="K69" s="47">
        <f t="shared" si="22"/>
        <v>0</v>
      </c>
      <c r="L69" s="48">
        <f t="shared" si="23"/>
        <v>0</v>
      </c>
    </row>
    <row r="70" spans="1:12" x14ac:dyDescent="0.25">
      <c r="A70" s="288"/>
      <c r="B70" s="66">
        <v>4029</v>
      </c>
      <c r="C70" s="61" t="s">
        <v>62</v>
      </c>
      <c r="D70" s="86">
        <v>12</v>
      </c>
      <c r="E70" s="98">
        <v>6.5000000000000002E-2</v>
      </c>
      <c r="F70" s="41"/>
      <c r="G70" s="41"/>
      <c r="H70" s="45">
        <f t="shared" si="20"/>
        <v>0</v>
      </c>
      <c r="I70" s="45">
        <f t="shared" si="21"/>
        <v>0</v>
      </c>
      <c r="J70" s="60"/>
      <c r="K70" s="47">
        <f t="shared" si="22"/>
        <v>0</v>
      </c>
      <c r="L70" s="48">
        <f t="shared" si="23"/>
        <v>0</v>
      </c>
    </row>
    <row r="71" spans="1:12" x14ac:dyDescent="0.25">
      <c r="A71" s="288"/>
      <c r="B71" s="66">
        <v>4030</v>
      </c>
      <c r="C71" s="61" t="s">
        <v>63</v>
      </c>
      <c r="D71" s="86">
        <v>9</v>
      </c>
      <c r="E71" s="98">
        <v>6.5000000000000002E-2</v>
      </c>
      <c r="F71" s="41"/>
      <c r="G71" s="41"/>
      <c r="H71" s="45">
        <f t="shared" si="20"/>
        <v>0</v>
      </c>
      <c r="I71" s="45">
        <f t="shared" si="21"/>
        <v>0</v>
      </c>
      <c r="J71" s="60"/>
      <c r="K71" s="47">
        <f t="shared" si="22"/>
        <v>0</v>
      </c>
      <c r="L71" s="48">
        <f t="shared" si="23"/>
        <v>0</v>
      </c>
    </row>
    <row r="72" spans="1:12" x14ac:dyDescent="0.25">
      <c r="A72" s="288"/>
      <c r="B72" s="66">
        <v>4033</v>
      </c>
      <c r="C72" s="61" t="s">
        <v>64</v>
      </c>
      <c r="D72" s="86">
        <v>12</v>
      </c>
      <c r="E72" s="98">
        <v>6.5000000000000002E-2</v>
      </c>
      <c r="F72" s="41"/>
      <c r="G72" s="41"/>
      <c r="H72" s="45">
        <f t="shared" si="20"/>
        <v>0</v>
      </c>
      <c r="I72" s="45">
        <f t="shared" si="21"/>
        <v>0</v>
      </c>
      <c r="J72" s="60"/>
      <c r="K72" s="47">
        <f t="shared" si="22"/>
        <v>0</v>
      </c>
      <c r="L72" s="48">
        <f t="shared" si="23"/>
        <v>0</v>
      </c>
    </row>
    <row r="73" spans="1:12" x14ac:dyDescent="0.25">
      <c r="A73" s="288"/>
      <c r="B73" s="66">
        <v>4035</v>
      </c>
      <c r="C73" s="61" t="s">
        <v>65</v>
      </c>
      <c r="D73" s="86">
        <v>9</v>
      </c>
      <c r="E73" s="98">
        <v>6.5000000000000002E-2</v>
      </c>
      <c r="F73" s="41"/>
      <c r="G73" s="41"/>
      <c r="H73" s="45">
        <f t="shared" si="20"/>
        <v>0</v>
      </c>
      <c r="I73" s="45">
        <f t="shared" si="21"/>
        <v>0</v>
      </c>
      <c r="J73" s="60"/>
      <c r="K73" s="47">
        <f t="shared" si="22"/>
        <v>0</v>
      </c>
      <c r="L73" s="48">
        <f t="shared" si="23"/>
        <v>0</v>
      </c>
    </row>
    <row r="74" spans="1:12" x14ac:dyDescent="0.25">
      <c r="A74" s="288"/>
      <c r="B74" s="66">
        <v>4037</v>
      </c>
      <c r="C74" s="61" t="s">
        <v>66</v>
      </c>
      <c r="D74" s="86">
        <v>12</v>
      </c>
      <c r="E74" s="98">
        <v>6.5000000000000002E-2</v>
      </c>
      <c r="F74" s="41"/>
      <c r="G74" s="41"/>
      <c r="H74" s="45">
        <f t="shared" si="20"/>
        <v>0</v>
      </c>
      <c r="I74" s="45">
        <f t="shared" si="21"/>
        <v>0</v>
      </c>
      <c r="J74" s="60"/>
      <c r="K74" s="47">
        <f t="shared" si="22"/>
        <v>0</v>
      </c>
      <c r="L74" s="48">
        <f t="shared" si="23"/>
        <v>0</v>
      </c>
    </row>
    <row r="75" spans="1:12" x14ac:dyDescent="0.25">
      <c r="A75" s="288"/>
      <c r="B75" s="66">
        <v>4038</v>
      </c>
      <c r="C75" s="61" t="s">
        <v>67</v>
      </c>
      <c r="D75" s="86">
        <v>12</v>
      </c>
      <c r="E75" s="98">
        <v>6.5000000000000002E-2</v>
      </c>
      <c r="F75" s="41"/>
      <c r="G75" s="41"/>
      <c r="H75" s="45">
        <f t="shared" si="20"/>
        <v>0</v>
      </c>
      <c r="I75" s="45">
        <f t="shared" si="21"/>
        <v>0</v>
      </c>
      <c r="J75" s="60"/>
      <c r="K75" s="47">
        <f t="shared" si="22"/>
        <v>0</v>
      </c>
      <c r="L75" s="48">
        <f t="shared" si="23"/>
        <v>0</v>
      </c>
    </row>
    <row r="76" spans="1:12" x14ac:dyDescent="0.25">
      <c r="A76" s="288"/>
      <c r="B76" s="66">
        <v>4039</v>
      </c>
      <c r="C76" s="61" t="s">
        <v>68</v>
      </c>
      <c r="D76" s="86">
        <v>12</v>
      </c>
      <c r="E76" s="98">
        <v>6.5000000000000002E-2</v>
      </c>
      <c r="F76" s="41"/>
      <c r="G76" s="41"/>
      <c r="H76" s="45">
        <f t="shared" si="20"/>
        <v>0</v>
      </c>
      <c r="I76" s="45">
        <f t="shared" si="21"/>
        <v>0</v>
      </c>
      <c r="J76" s="60"/>
      <c r="K76" s="47">
        <f t="shared" si="22"/>
        <v>0</v>
      </c>
      <c r="L76" s="48">
        <f t="shared" si="23"/>
        <v>0</v>
      </c>
    </row>
    <row r="77" spans="1:12" x14ac:dyDescent="0.25">
      <c r="A77" s="288"/>
      <c r="B77" s="66">
        <v>4042</v>
      </c>
      <c r="C77" s="61" t="s">
        <v>69</v>
      </c>
      <c r="D77" s="86">
        <v>6</v>
      </c>
      <c r="E77" s="98">
        <v>6.5000000000000002E-2</v>
      </c>
      <c r="F77" s="41"/>
      <c r="G77" s="41"/>
      <c r="H77" s="45">
        <f t="shared" si="20"/>
        <v>0</v>
      </c>
      <c r="I77" s="45">
        <f t="shared" si="21"/>
        <v>0</v>
      </c>
      <c r="J77" s="60"/>
      <c r="K77" s="47">
        <f t="shared" si="22"/>
        <v>0</v>
      </c>
      <c r="L77" s="48">
        <f t="shared" si="23"/>
        <v>0</v>
      </c>
    </row>
    <row r="78" spans="1:12" x14ac:dyDescent="0.25">
      <c r="A78" s="288"/>
      <c r="B78" s="66">
        <v>4043</v>
      </c>
      <c r="C78" s="61" t="s">
        <v>70</v>
      </c>
      <c r="D78" s="86">
        <v>6</v>
      </c>
      <c r="E78" s="98">
        <v>6.5000000000000002E-2</v>
      </c>
      <c r="F78" s="41"/>
      <c r="G78" s="41"/>
      <c r="H78" s="45">
        <f t="shared" si="20"/>
        <v>0</v>
      </c>
      <c r="I78" s="45">
        <f t="shared" si="21"/>
        <v>0</v>
      </c>
      <c r="J78" s="60"/>
      <c r="K78" s="47">
        <f t="shared" si="22"/>
        <v>0</v>
      </c>
      <c r="L78" s="48">
        <f t="shared" si="23"/>
        <v>0</v>
      </c>
    </row>
    <row r="79" spans="1:12" x14ac:dyDescent="0.25">
      <c r="A79" s="288"/>
      <c r="B79" s="66">
        <v>4044</v>
      </c>
      <c r="C79" s="61" t="s">
        <v>71</v>
      </c>
      <c r="D79" s="86">
        <v>6</v>
      </c>
      <c r="E79" s="98">
        <v>6.5000000000000002E-2</v>
      </c>
      <c r="F79" s="41"/>
      <c r="G79" s="41"/>
      <c r="H79" s="45">
        <f t="shared" si="20"/>
        <v>0</v>
      </c>
      <c r="I79" s="45">
        <f t="shared" si="21"/>
        <v>0</v>
      </c>
      <c r="J79" s="60"/>
      <c r="K79" s="47">
        <f t="shared" si="22"/>
        <v>0</v>
      </c>
      <c r="L79" s="48">
        <f t="shared" si="23"/>
        <v>0</v>
      </c>
    </row>
    <row r="80" spans="1:12" x14ac:dyDescent="0.25">
      <c r="A80" s="288"/>
      <c r="B80" s="66">
        <v>4045</v>
      </c>
      <c r="C80" s="61" t="s">
        <v>72</v>
      </c>
      <c r="D80" s="86">
        <v>6</v>
      </c>
      <c r="E80" s="98">
        <v>6.5000000000000002E-2</v>
      </c>
      <c r="F80" s="41"/>
      <c r="G80" s="41"/>
      <c r="H80" s="45">
        <f t="shared" si="20"/>
        <v>0</v>
      </c>
      <c r="I80" s="45">
        <f t="shared" si="21"/>
        <v>0</v>
      </c>
      <c r="J80" s="60"/>
      <c r="K80" s="47">
        <f t="shared" si="22"/>
        <v>0</v>
      </c>
      <c r="L80" s="48">
        <f t="shared" si="23"/>
        <v>0</v>
      </c>
    </row>
    <row r="81" spans="1:12" x14ac:dyDescent="0.25">
      <c r="A81" s="288"/>
      <c r="B81" s="66">
        <v>4046</v>
      </c>
      <c r="C81" s="61" t="s">
        <v>73</v>
      </c>
      <c r="D81" s="86">
        <v>12</v>
      </c>
      <c r="E81" s="98">
        <v>6.5000000000000002E-2</v>
      </c>
      <c r="F81" s="41"/>
      <c r="G81" s="41"/>
      <c r="H81" s="45">
        <f t="shared" si="20"/>
        <v>0</v>
      </c>
      <c r="I81" s="45">
        <f t="shared" si="21"/>
        <v>0</v>
      </c>
      <c r="J81" s="60"/>
      <c r="K81" s="47">
        <f t="shared" si="22"/>
        <v>0</v>
      </c>
      <c r="L81" s="48">
        <f t="shared" si="23"/>
        <v>0</v>
      </c>
    </row>
    <row r="82" spans="1:12" x14ac:dyDescent="0.25">
      <c r="A82" s="288"/>
      <c r="B82" s="66">
        <v>4047</v>
      </c>
      <c r="C82" s="61" t="s">
        <v>74</v>
      </c>
      <c r="D82" s="86">
        <v>12</v>
      </c>
      <c r="E82" s="98">
        <v>6.5000000000000002E-2</v>
      </c>
      <c r="F82" s="41"/>
      <c r="G82" s="41"/>
      <c r="H82" s="45">
        <f t="shared" si="20"/>
        <v>0</v>
      </c>
      <c r="I82" s="45">
        <f t="shared" si="21"/>
        <v>0</v>
      </c>
      <c r="J82" s="60"/>
      <c r="K82" s="47">
        <f t="shared" si="22"/>
        <v>0</v>
      </c>
      <c r="L82" s="48">
        <f t="shared" si="23"/>
        <v>0</v>
      </c>
    </row>
    <row r="83" spans="1:12" x14ac:dyDescent="0.25">
      <c r="A83" s="288"/>
      <c r="B83" s="66">
        <v>4048</v>
      </c>
      <c r="C83" s="61" t="s">
        <v>75</v>
      </c>
      <c r="D83" s="86">
        <v>12</v>
      </c>
      <c r="E83" s="98">
        <v>6.5000000000000002E-2</v>
      </c>
      <c r="F83" s="41"/>
      <c r="G83" s="41"/>
      <c r="H83" s="45">
        <f t="shared" si="20"/>
        <v>0</v>
      </c>
      <c r="I83" s="45">
        <f t="shared" si="21"/>
        <v>0</v>
      </c>
      <c r="J83" s="60"/>
      <c r="K83" s="47">
        <f t="shared" si="22"/>
        <v>0</v>
      </c>
      <c r="L83" s="48">
        <f t="shared" si="23"/>
        <v>0</v>
      </c>
    </row>
    <row r="84" spans="1:12" x14ac:dyDescent="0.25">
      <c r="A84" s="288"/>
      <c r="B84" s="66">
        <v>4049</v>
      </c>
      <c r="C84" s="61" t="s">
        <v>76</v>
      </c>
      <c r="D84" s="86">
        <v>12</v>
      </c>
      <c r="E84" s="98">
        <v>6.5000000000000002E-2</v>
      </c>
      <c r="F84" s="41"/>
      <c r="G84" s="41"/>
      <c r="H84" s="45">
        <f t="shared" si="20"/>
        <v>0</v>
      </c>
      <c r="I84" s="45">
        <f t="shared" si="21"/>
        <v>0</v>
      </c>
      <c r="J84" s="60"/>
      <c r="K84" s="47">
        <f t="shared" si="22"/>
        <v>0</v>
      </c>
      <c r="L84" s="48">
        <f t="shared" si="23"/>
        <v>0</v>
      </c>
    </row>
    <row r="85" spans="1:12" x14ac:dyDescent="0.25">
      <c r="A85" s="288"/>
      <c r="B85" s="66">
        <v>4050</v>
      </c>
      <c r="C85" s="61" t="s">
        <v>77</v>
      </c>
      <c r="D85" s="86">
        <v>12</v>
      </c>
      <c r="E85" s="98">
        <v>6.5000000000000002E-2</v>
      </c>
      <c r="F85" s="41"/>
      <c r="G85" s="41"/>
      <c r="H85" s="45">
        <f t="shared" si="20"/>
        <v>0</v>
      </c>
      <c r="I85" s="45">
        <f t="shared" si="21"/>
        <v>0</v>
      </c>
      <c r="J85" s="60"/>
      <c r="K85" s="47">
        <f t="shared" si="22"/>
        <v>0</v>
      </c>
      <c r="L85" s="48">
        <f t="shared" si="23"/>
        <v>0</v>
      </c>
    </row>
    <row r="86" spans="1:12" x14ac:dyDescent="0.25">
      <c r="A86" s="288"/>
      <c r="B86" s="66">
        <v>4051</v>
      </c>
      <c r="C86" s="61" t="s">
        <v>78</v>
      </c>
      <c r="D86" s="86">
        <v>12</v>
      </c>
      <c r="E86" s="98">
        <v>6.5000000000000002E-2</v>
      </c>
      <c r="F86" s="41"/>
      <c r="G86" s="41"/>
      <c r="H86" s="45">
        <f t="shared" si="20"/>
        <v>0</v>
      </c>
      <c r="I86" s="45">
        <f t="shared" si="21"/>
        <v>0</v>
      </c>
      <c r="J86" s="60"/>
      <c r="K86" s="47">
        <f t="shared" si="22"/>
        <v>0</v>
      </c>
      <c r="L86" s="48">
        <f t="shared" si="23"/>
        <v>0</v>
      </c>
    </row>
    <row r="87" spans="1:12" x14ac:dyDescent="0.25">
      <c r="A87" s="288"/>
      <c r="B87" s="66">
        <v>4052</v>
      </c>
      <c r="C87" s="61" t="s">
        <v>79</v>
      </c>
      <c r="D87" s="86">
        <v>12</v>
      </c>
      <c r="E87" s="98">
        <v>6.5000000000000002E-2</v>
      </c>
      <c r="F87" s="41"/>
      <c r="G87" s="41"/>
      <c r="H87" s="45">
        <f t="shared" si="20"/>
        <v>0</v>
      </c>
      <c r="I87" s="45">
        <f t="shared" si="21"/>
        <v>0</v>
      </c>
      <c r="J87" s="60"/>
      <c r="K87" s="47">
        <f t="shared" si="22"/>
        <v>0</v>
      </c>
      <c r="L87" s="48">
        <f t="shared" si="23"/>
        <v>0</v>
      </c>
    </row>
    <row r="88" spans="1:12" x14ac:dyDescent="0.25">
      <c r="A88" s="288"/>
      <c r="B88" s="66">
        <v>4054</v>
      </c>
      <c r="C88" s="61" t="s">
        <v>80</v>
      </c>
      <c r="D88" s="86">
        <v>12</v>
      </c>
      <c r="E88" s="98">
        <v>6.5000000000000002E-2</v>
      </c>
      <c r="F88" s="41"/>
      <c r="G88" s="41"/>
      <c r="H88" s="45">
        <f t="shared" si="20"/>
        <v>0</v>
      </c>
      <c r="I88" s="45">
        <f t="shared" si="21"/>
        <v>0</v>
      </c>
      <c r="J88" s="60"/>
      <c r="K88" s="47">
        <f t="shared" si="22"/>
        <v>0</v>
      </c>
      <c r="L88" s="48">
        <f t="shared" si="23"/>
        <v>0</v>
      </c>
    </row>
    <row r="89" spans="1:12" x14ac:dyDescent="0.25">
      <c r="A89" s="288"/>
      <c r="B89" s="66">
        <v>4055</v>
      </c>
      <c r="C89" s="61" t="s">
        <v>81</v>
      </c>
      <c r="D89" s="86">
        <v>12</v>
      </c>
      <c r="E89" s="98">
        <v>6.5000000000000002E-2</v>
      </c>
      <c r="F89" s="41"/>
      <c r="G89" s="41"/>
      <c r="H89" s="45">
        <f t="shared" si="20"/>
        <v>0</v>
      </c>
      <c r="I89" s="45">
        <f t="shared" si="21"/>
        <v>0</v>
      </c>
      <c r="J89" s="60"/>
      <c r="K89" s="47">
        <f t="shared" si="22"/>
        <v>0</v>
      </c>
      <c r="L89" s="48">
        <f t="shared" si="23"/>
        <v>0</v>
      </c>
    </row>
    <row r="90" spans="1:12" x14ac:dyDescent="0.25">
      <c r="A90" s="288"/>
      <c r="B90" s="66">
        <v>4056</v>
      </c>
      <c r="C90" s="61" t="s">
        <v>82</v>
      </c>
      <c r="D90" s="86">
        <v>24</v>
      </c>
      <c r="E90" s="100">
        <v>3.2500000000000001E-2</v>
      </c>
      <c r="F90" s="41"/>
      <c r="G90" s="41"/>
      <c r="H90" s="45">
        <f t="shared" si="20"/>
        <v>0</v>
      </c>
      <c r="I90" s="45">
        <f t="shared" si="21"/>
        <v>0</v>
      </c>
      <c r="J90" s="60"/>
      <c r="K90" s="47">
        <f t="shared" si="22"/>
        <v>0</v>
      </c>
      <c r="L90" s="48">
        <f t="shared" si="23"/>
        <v>0</v>
      </c>
    </row>
    <row r="91" spans="1:12" x14ac:dyDescent="0.25">
      <c r="A91" s="288"/>
      <c r="B91" s="66">
        <v>4057</v>
      </c>
      <c r="C91" s="61" t="s">
        <v>83</v>
      </c>
      <c r="D91" s="86">
        <v>12</v>
      </c>
      <c r="E91" s="98">
        <v>6.5000000000000002E-2</v>
      </c>
      <c r="F91" s="41"/>
      <c r="G91" s="41"/>
      <c r="H91" s="45">
        <f t="shared" si="20"/>
        <v>0</v>
      </c>
      <c r="I91" s="45">
        <f t="shared" si="21"/>
        <v>0</v>
      </c>
      <c r="J91" s="60"/>
      <c r="K91" s="47">
        <f t="shared" si="22"/>
        <v>0</v>
      </c>
      <c r="L91" s="48">
        <f t="shared" si="23"/>
        <v>0</v>
      </c>
    </row>
    <row r="92" spans="1:12" x14ac:dyDescent="0.25">
      <c r="A92" s="288"/>
      <c r="B92" s="66">
        <v>4058</v>
      </c>
      <c r="C92" s="61" t="s">
        <v>106</v>
      </c>
      <c r="D92" s="86">
        <v>12</v>
      </c>
      <c r="E92" s="98">
        <v>6.5000000000000002E-2</v>
      </c>
      <c r="F92" s="41"/>
      <c r="G92" s="41"/>
      <c r="H92" s="45">
        <f t="shared" si="20"/>
        <v>0</v>
      </c>
      <c r="I92" s="45">
        <f t="shared" si="21"/>
        <v>0</v>
      </c>
      <c r="J92" s="60"/>
      <c r="K92" s="47">
        <f t="shared" si="22"/>
        <v>0</v>
      </c>
      <c r="L92" s="48">
        <f t="shared" si="23"/>
        <v>0</v>
      </c>
    </row>
    <row r="93" spans="1:12" x14ac:dyDescent="0.25">
      <c r="A93" s="288"/>
      <c r="B93" s="66">
        <v>4059</v>
      </c>
      <c r="C93" s="61" t="s">
        <v>94</v>
      </c>
      <c r="D93" s="86">
        <v>24</v>
      </c>
      <c r="E93" s="100">
        <v>3.2500000000000001E-2</v>
      </c>
      <c r="F93" s="41"/>
      <c r="G93" s="41"/>
      <c r="H93" s="45">
        <f t="shared" si="20"/>
        <v>0</v>
      </c>
      <c r="I93" s="45">
        <f t="shared" si="21"/>
        <v>0</v>
      </c>
      <c r="J93" s="60"/>
      <c r="K93" s="47">
        <f t="shared" si="22"/>
        <v>0</v>
      </c>
      <c r="L93" s="48">
        <f t="shared" si="23"/>
        <v>0</v>
      </c>
    </row>
    <row r="94" spans="1:12" x14ac:dyDescent="0.25">
      <c r="A94" s="288"/>
      <c r="B94" s="66">
        <v>4060</v>
      </c>
      <c r="C94" s="61" t="s">
        <v>107</v>
      </c>
      <c r="D94" s="86">
        <v>24</v>
      </c>
      <c r="E94" s="100">
        <v>3.2500000000000001E-2</v>
      </c>
      <c r="F94" s="41"/>
      <c r="G94" s="41"/>
      <c r="H94" s="45">
        <f t="shared" si="20"/>
        <v>0</v>
      </c>
      <c r="I94" s="45">
        <f t="shared" si="21"/>
        <v>0</v>
      </c>
      <c r="J94" s="60"/>
      <c r="K94" s="47">
        <f t="shared" si="22"/>
        <v>0</v>
      </c>
      <c r="L94" s="48">
        <f t="shared" si="23"/>
        <v>0</v>
      </c>
    </row>
    <row r="95" spans="1:12" x14ac:dyDescent="0.25">
      <c r="A95" s="288"/>
      <c r="B95" s="66">
        <v>4061</v>
      </c>
      <c r="C95" s="61" t="s">
        <v>108</v>
      </c>
      <c r="D95" s="86">
        <v>12</v>
      </c>
      <c r="E95" s="100">
        <v>3.2500000000000001E-2</v>
      </c>
      <c r="F95" s="41"/>
      <c r="G95" s="41"/>
      <c r="H95" s="45">
        <f t="shared" si="20"/>
        <v>0</v>
      </c>
      <c r="I95" s="45">
        <f t="shared" si="21"/>
        <v>0</v>
      </c>
      <c r="J95" s="60"/>
      <c r="K95" s="47">
        <f t="shared" si="22"/>
        <v>0</v>
      </c>
      <c r="L95" s="48">
        <f t="shared" si="23"/>
        <v>0</v>
      </c>
    </row>
    <row r="96" spans="1:12" x14ac:dyDescent="0.25">
      <c r="A96" s="288"/>
      <c r="B96" s="66">
        <v>4063</v>
      </c>
      <c r="C96" s="61" t="s">
        <v>109</v>
      </c>
      <c r="D96" s="86">
        <v>12</v>
      </c>
      <c r="E96" s="98">
        <v>6.5000000000000002E-2</v>
      </c>
      <c r="F96" s="41"/>
      <c r="G96" s="41"/>
      <c r="H96" s="45">
        <f t="shared" si="20"/>
        <v>0</v>
      </c>
      <c r="I96" s="45">
        <f t="shared" si="21"/>
        <v>0</v>
      </c>
      <c r="J96" s="60"/>
      <c r="K96" s="47">
        <f t="shared" si="22"/>
        <v>0</v>
      </c>
      <c r="L96" s="48">
        <f t="shared" si="23"/>
        <v>0</v>
      </c>
    </row>
    <row r="97" spans="1:12" x14ac:dyDescent="0.25">
      <c r="A97" s="288"/>
      <c r="B97" s="66">
        <v>6007</v>
      </c>
      <c r="C97" s="61" t="s">
        <v>84</v>
      </c>
      <c r="D97" s="86">
        <v>24</v>
      </c>
      <c r="E97" s="98">
        <v>6.5000000000000002E-2</v>
      </c>
      <c r="F97" s="41"/>
      <c r="G97" s="41"/>
      <c r="H97" s="45">
        <f t="shared" si="20"/>
        <v>0</v>
      </c>
      <c r="I97" s="45">
        <f t="shared" si="21"/>
        <v>0</v>
      </c>
      <c r="J97" s="60"/>
      <c r="K97" s="47">
        <f t="shared" si="22"/>
        <v>0</v>
      </c>
      <c r="L97" s="48">
        <f t="shared" si="23"/>
        <v>0</v>
      </c>
    </row>
    <row r="98" spans="1:12" x14ac:dyDescent="0.25">
      <c r="A98" s="288"/>
      <c r="B98" s="66">
        <v>6009</v>
      </c>
      <c r="C98" s="61" t="s">
        <v>85</v>
      </c>
      <c r="D98" s="86">
        <v>12</v>
      </c>
      <c r="E98" s="98">
        <v>6.5000000000000002E-2</v>
      </c>
      <c r="F98" s="41"/>
      <c r="G98" s="41"/>
      <c r="H98" s="45">
        <f t="shared" si="20"/>
        <v>0</v>
      </c>
      <c r="I98" s="45">
        <f t="shared" si="21"/>
        <v>0</v>
      </c>
      <c r="J98" s="60"/>
      <c r="K98" s="47">
        <f t="shared" si="22"/>
        <v>0</v>
      </c>
      <c r="L98" s="48">
        <f t="shared" si="23"/>
        <v>0</v>
      </c>
    </row>
    <row r="99" spans="1:12" ht="15.75" thickBot="1" x14ac:dyDescent="0.3">
      <c r="A99" s="289"/>
      <c r="B99" s="67">
        <v>6011</v>
      </c>
      <c r="C99" s="64" t="s">
        <v>86</v>
      </c>
      <c r="D99" s="87">
        <v>24</v>
      </c>
      <c r="E99" s="99">
        <v>6.5000000000000002E-2</v>
      </c>
      <c r="F99" s="42"/>
      <c r="G99" s="42"/>
      <c r="H99" s="128">
        <f t="shared" si="20"/>
        <v>0</v>
      </c>
      <c r="I99" s="128">
        <f t="shared" si="21"/>
        <v>0</v>
      </c>
      <c r="J99" s="109"/>
      <c r="K99" s="121">
        <f t="shared" si="22"/>
        <v>0</v>
      </c>
      <c r="L99" s="120">
        <f t="shared" si="23"/>
        <v>0</v>
      </c>
    </row>
    <row r="100" spans="1:12" x14ac:dyDescent="0.25">
      <c r="A100" s="280" t="s">
        <v>11</v>
      </c>
      <c r="B100" s="65">
        <v>8001</v>
      </c>
      <c r="C100" s="75" t="s">
        <v>87</v>
      </c>
      <c r="D100" s="93">
        <v>9</v>
      </c>
      <c r="E100" s="97">
        <v>6.5000000000000002E-2</v>
      </c>
      <c r="F100" s="40"/>
      <c r="G100" s="40"/>
      <c r="H100" s="46">
        <f t="shared" si="20"/>
        <v>0</v>
      </c>
      <c r="I100" s="46">
        <f t="shared" si="21"/>
        <v>0</v>
      </c>
      <c r="J100" s="59"/>
      <c r="K100" s="73">
        <f t="shared" si="22"/>
        <v>0</v>
      </c>
      <c r="L100" s="74">
        <f t="shared" si="23"/>
        <v>0</v>
      </c>
    </row>
    <row r="101" spans="1:12" x14ac:dyDescent="0.25">
      <c r="A101" s="280"/>
      <c r="B101" s="66">
        <v>8002</v>
      </c>
      <c r="C101" s="70" t="s">
        <v>88</v>
      </c>
      <c r="D101" s="94">
        <v>6</v>
      </c>
      <c r="E101" s="98">
        <v>6.5000000000000002E-2</v>
      </c>
      <c r="F101" s="41"/>
      <c r="G101" s="41"/>
      <c r="H101" s="45">
        <f t="shared" si="20"/>
        <v>0</v>
      </c>
      <c r="I101" s="45">
        <f t="shared" si="21"/>
        <v>0</v>
      </c>
      <c r="J101" s="60"/>
      <c r="K101" s="47">
        <f t="shared" si="22"/>
        <v>0</v>
      </c>
      <c r="L101" s="48">
        <f t="shared" si="23"/>
        <v>0</v>
      </c>
    </row>
    <row r="102" spans="1:12" x14ac:dyDescent="0.25">
      <c r="A102" s="280"/>
      <c r="B102" s="66">
        <v>8003</v>
      </c>
      <c r="C102" s="70" t="s">
        <v>89</v>
      </c>
      <c r="D102" s="90">
        <v>6</v>
      </c>
      <c r="E102" s="98">
        <v>6.5000000000000002E-2</v>
      </c>
      <c r="F102" s="41"/>
      <c r="G102" s="41"/>
      <c r="H102" s="45">
        <f t="shared" si="20"/>
        <v>0</v>
      </c>
      <c r="I102" s="45">
        <f t="shared" si="21"/>
        <v>0</v>
      </c>
      <c r="J102" s="60"/>
      <c r="K102" s="47">
        <f t="shared" si="22"/>
        <v>0</v>
      </c>
      <c r="L102" s="48">
        <f t="shared" si="23"/>
        <v>0</v>
      </c>
    </row>
    <row r="103" spans="1:12" x14ac:dyDescent="0.25">
      <c r="A103" s="280"/>
      <c r="B103" s="66">
        <v>8004</v>
      </c>
      <c r="C103" s="70" t="s">
        <v>90</v>
      </c>
      <c r="D103" s="90">
        <v>12</v>
      </c>
      <c r="E103" s="98">
        <v>6.5000000000000002E-2</v>
      </c>
      <c r="F103" s="41"/>
      <c r="G103" s="41"/>
      <c r="H103" s="45">
        <f t="shared" si="20"/>
        <v>0</v>
      </c>
      <c r="I103" s="45">
        <f t="shared" si="21"/>
        <v>0</v>
      </c>
      <c r="J103" s="60"/>
      <c r="K103" s="47">
        <f t="shared" si="22"/>
        <v>0</v>
      </c>
      <c r="L103" s="48">
        <f t="shared" si="23"/>
        <v>0</v>
      </c>
    </row>
    <row r="104" spans="1:12" s="1" customFormat="1" x14ac:dyDescent="0.25">
      <c r="A104" s="280"/>
      <c r="B104" s="66">
        <v>8011</v>
      </c>
      <c r="C104" s="70" t="s">
        <v>91</v>
      </c>
      <c r="D104" s="90">
        <v>12</v>
      </c>
      <c r="E104" s="98">
        <v>6.5000000000000002E-2</v>
      </c>
      <c r="F104" s="41"/>
      <c r="G104" s="41"/>
      <c r="H104" s="45">
        <f t="shared" ref="H104" si="24">F104/1.12</f>
        <v>0</v>
      </c>
      <c r="I104" s="45">
        <f t="shared" ref="I104" si="25">G104/1.12</f>
        <v>0</v>
      </c>
      <c r="J104" s="60"/>
      <c r="K104" s="47">
        <f t="shared" ref="K104" si="26">J104/1.28</f>
        <v>0</v>
      </c>
      <c r="L104" s="48">
        <f t="shared" ref="L104" si="27">J104/1.4</f>
        <v>0</v>
      </c>
    </row>
    <row r="105" spans="1:12" x14ac:dyDescent="0.25">
      <c r="A105" s="280"/>
      <c r="B105" s="66">
        <v>8012</v>
      </c>
      <c r="C105" s="70" t="s">
        <v>110</v>
      </c>
      <c r="D105" s="90">
        <v>12</v>
      </c>
      <c r="E105" s="98">
        <v>6.5000000000000002E-2</v>
      </c>
      <c r="F105" s="41"/>
      <c r="G105" s="41"/>
      <c r="H105" s="45">
        <f t="shared" si="20"/>
        <v>0</v>
      </c>
      <c r="I105" s="45">
        <f t="shared" si="21"/>
        <v>0</v>
      </c>
      <c r="J105" s="60"/>
      <c r="K105" s="47">
        <f t="shared" si="22"/>
        <v>0</v>
      </c>
      <c r="L105" s="48">
        <f t="shared" si="23"/>
        <v>0</v>
      </c>
    </row>
    <row r="106" spans="1:12" ht="15.75" thickBot="1" x14ac:dyDescent="0.3">
      <c r="A106" s="290"/>
      <c r="B106" s="76">
        <v>8013</v>
      </c>
      <c r="C106" s="77" t="s">
        <v>168</v>
      </c>
      <c r="D106" s="95">
        <v>12</v>
      </c>
      <c r="E106" s="104">
        <v>6.5000000000000002E-2</v>
      </c>
      <c r="F106" s="44"/>
      <c r="G106" s="44"/>
      <c r="H106" s="128">
        <f t="shared" si="20"/>
        <v>0</v>
      </c>
      <c r="I106" s="128">
        <f t="shared" si="21"/>
        <v>0</v>
      </c>
      <c r="J106" s="109"/>
      <c r="K106" s="121">
        <f t="shared" si="22"/>
        <v>0</v>
      </c>
      <c r="L106" s="120">
        <f t="shared" si="23"/>
        <v>0</v>
      </c>
    </row>
    <row r="107" spans="1:12" ht="15.75" thickBot="1" x14ac:dyDescent="0.3">
      <c r="A107" s="12"/>
      <c r="B107" s="13"/>
      <c r="C107" s="14"/>
      <c r="D107" s="13"/>
      <c r="E107" s="15"/>
      <c r="F107" s="16"/>
      <c r="G107" s="16"/>
      <c r="H107" s="16"/>
      <c r="I107" s="16"/>
      <c r="J107" s="17"/>
      <c r="K107" s="18"/>
      <c r="L107" s="19"/>
    </row>
    <row r="108" spans="1:12" ht="15.75" thickBot="1" x14ac:dyDescent="0.3">
      <c r="A108" s="277" t="s">
        <v>111</v>
      </c>
      <c r="B108" s="278"/>
      <c r="C108" s="278"/>
      <c r="D108" s="20"/>
      <c r="E108" s="20"/>
      <c r="F108" s="20"/>
      <c r="G108" s="20"/>
      <c r="H108" s="20"/>
      <c r="I108" s="20"/>
      <c r="J108" s="20"/>
      <c r="K108" s="20"/>
      <c r="L108" s="21"/>
    </row>
    <row r="109" spans="1:12" ht="15.75" thickBot="1" x14ac:dyDescent="0.3">
      <c r="A109" s="297" t="s">
        <v>140</v>
      </c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9"/>
    </row>
    <row r="110" spans="1:12" ht="15.75" thickBot="1" x14ac:dyDescent="0.3">
      <c r="A110" s="300" t="s">
        <v>112</v>
      </c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2"/>
    </row>
    <row r="111" spans="1:12" x14ac:dyDescent="0.25">
      <c r="A111" s="38" t="s">
        <v>113</v>
      </c>
      <c r="B111" s="39"/>
      <c r="C111" s="39"/>
      <c r="D111" s="26"/>
      <c r="E111" s="26"/>
      <c r="F111" s="26"/>
      <c r="G111" s="26"/>
      <c r="H111" s="26"/>
      <c r="I111" s="26"/>
      <c r="J111" s="26"/>
      <c r="K111" s="26"/>
      <c r="L111" s="27"/>
    </row>
    <row r="112" spans="1:12" x14ac:dyDescent="0.25">
      <c r="A112" s="294" t="s">
        <v>141</v>
      </c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6"/>
    </row>
    <row r="113" spans="1:12" s="1" customFormat="1" x14ac:dyDescent="0.25">
      <c r="A113" s="106" t="s">
        <v>142</v>
      </c>
      <c r="B113" s="105"/>
      <c r="C113" s="105"/>
      <c r="D113" s="105"/>
      <c r="E113" s="105"/>
      <c r="F113" s="105"/>
      <c r="G113" s="107"/>
      <c r="H113" s="107"/>
      <c r="I113" s="107"/>
      <c r="J113" s="107"/>
      <c r="K113" s="107"/>
      <c r="L113" s="108"/>
    </row>
    <row r="114" spans="1:12" x14ac:dyDescent="0.25">
      <c r="A114" s="294" t="s">
        <v>114</v>
      </c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6"/>
    </row>
    <row r="115" spans="1:12" x14ac:dyDescent="0.25">
      <c r="A115" s="294" t="s">
        <v>115</v>
      </c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6"/>
    </row>
    <row r="116" spans="1:12" x14ac:dyDescent="0.25">
      <c r="A116" s="294" t="s">
        <v>116</v>
      </c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6"/>
    </row>
    <row r="117" spans="1:12" ht="15.75" thickBot="1" x14ac:dyDescent="0.3">
      <c r="A117" s="34" t="s">
        <v>117</v>
      </c>
      <c r="B117" s="22"/>
      <c r="C117" s="22"/>
      <c r="D117" s="22"/>
      <c r="E117" s="22"/>
      <c r="F117" s="22"/>
      <c r="G117" s="35"/>
      <c r="H117" s="22"/>
      <c r="I117" s="22"/>
      <c r="J117" s="22"/>
      <c r="K117" s="22"/>
      <c r="L117" s="23"/>
    </row>
    <row r="118" spans="1:12" ht="15.75" thickBot="1" x14ac:dyDescent="0.3">
      <c r="A118" s="297" t="s">
        <v>118</v>
      </c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9"/>
    </row>
    <row r="119" spans="1:12" x14ac:dyDescent="0.25">
      <c r="A119" s="6" t="s">
        <v>119</v>
      </c>
      <c r="B119" s="7"/>
      <c r="C119" s="7"/>
      <c r="D119" s="8"/>
      <c r="E119" s="8"/>
      <c r="F119" s="8"/>
      <c r="G119" s="8"/>
      <c r="H119" s="8"/>
      <c r="I119" s="8"/>
      <c r="J119" s="8"/>
      <c r="K119" s="8"/>
      <c r="L119" s="9"/>
    </row>
    <row r="120" spans="1:12" x14ac:dyDescent="0.25">
      <c r="A120" s="28" t="s">
        <v>120</v>
      </c>
      <c r="B120" s="29"/>
      <c r="C120" s="29"/>
      <c r="D120" s="29"/>
      <c r="E120" s="29"/>
      <c r="F120" s="10"/>
      <c r="G120" s="10"/>
      <c r="H120" s="10"/>
      <c r="I120" s="10"/>
      <c r="J120" s="10"/>
      <c r="K120" s="10"/>
      <c r="L120" s="11"/>
    </row>
    <row r="121" spans="1:12" x14ac:dyDescent="0.25">
      <c r="A121" s="303" t="s">
        <v>121</v>
      </c>
      <c r="B121" s="304"/>
      <c r="C121" s="304"/>
      <c r="D121" s="304"/>
      <c r="E121" s="304"/>
      <c r="F121" s="304"/>
      <c r="G121" s="304"/>
      <c r="H121" s="304"/>
      <c r="I121" s="304"/>
      <c r="J121" s="304"/>
      <c r="K121" s="304"/>
      <c r="L121" s="305"/>
    </row>
    <row r="122" spans="1:12" x14ac:dyDescent="0.25">
      <c r="A122" s="303" t="s">
        <v>122</v>
      </c>
      <c r="B122" s="304"/>
      <c r="C122" s="304"/>
      <c r="D122" s="304"/>
      <c r="E122" s="304"/>
      <c r="F122" s="304"/>
      <c r="G122" s="304"/>
      <c r="H122" s="304"/>
      <c r="I122" s="304"/>
      <c r="J122" s="304"/>
      <c r="K122" s="304"/>
      <c r="L122" s="305"/>
    </row>
    <row r="123" spans="1:12" x14ac:dyDescent="0.25">
      <c r="A123" s="303" t="s">
        <v>123</v>
      </c>
      <c r="B123" s="304"/>
      <c r="C123" s="304"/>
      <c r="D123" s="304"/>
      <c r="E123" s="304"/>
      <c r="F123" s="304"/>
      <c r="G123" s="304"/>
      <c r="H123" s="304"/>
      <c r="I123" s="304"/>
      <c r="J123" s="304"/>
      <c r="K123" s="304"/>
      <c r="L123" s="305"/>
    </row>
    <row r="124" spans="1:12" ht="15.75" thickBot="1" x14ac:dyDescent="0.3">
      <c r="A124" s="306" t="s">
        <v>124</v>
      </c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8"/>
    </row>
    <row r="125" spans="1:12" ht="15.75" thickBot="1" x14ac:dyDescent="0.3">
      <c r="A125" s="253" t="s">
        <v>125</v>
      </c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5"/>
    </row>
    <row r="126" spans="1:12" x14ac:dyDescent="0.25">
      <c r="A126" s="256" t="s">
        <v>126</v>
      </c>
      <c r="B126" s="257"/>
      <c r="C126" s="257"/>
      <c r="D126" s="257"/>
      <c r="E126" s="257"/>
      <c r="F126" s="257"/>
      <c r="G126" s="257"/>
      <c r="H126" s="257"/>
      <c r="I126" s="257"/>
      <c r="J126" s="257"/>
      <c r="K126" s="257"/>
      <c r="L126" s="258"/>
    </row>
    <row r="127" spans="1:12" x14ac:dyDescent="0.25">
      <c r="A127" s="294" t="s">
        <v>127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6"/>
    </row>
    <row r="128" spans="1:12" x14ac:dyDescent="0.25">
      <c r="A128" s="294" t="s">
        <v>128</v>
      </c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6"/>
    </row>
    <row r="129" spans="1:12" ht="15.75" thickBot="1" x14ac:dyDescent="0.3">
      <c r="A129" s="309" t="s">
        <v>129</v>
      </c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1"/>
    </row>
    <row r="130" spans="1:12" ht="15.75" thickBot="1" x14ac:dyDescent="0.3">
      <c r="A130" s="24" t="s">
        <v>130</v>
      </c>
      <c r="B130" s="25"/>
      <c r="C130" s="25"/>
      <c r="D130" s="36"/>
      <c r="E130" s="36"/>
      <c r="F130" s="36"/>
      <c r="G130" s="36"/>
      <c r="H130" s="36"/>
      <c r="I130" s="36"/>
      <c r="J130" s="36"/>
      <c r="K130" s="36"/>
      <c r="L130" s="37"/>
    </row>
    <row r="131" spans="1:12" x14ac:dyDescent="0.25">
      <c r="A131" s="28" t="s">
        <v>143</v>
      </c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30"/>
    </row>
    <row r="132" spans="1:12" ht="15.75" thickBot="1" x14ac:dyDescent="0.3">
      <c r="A132" s="31" t="s">
        <v>131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3"/>
    </row>
    <row r="133" spans="1:12" ht="15.75" thickBot="1" x14ac:dyDescent="0.3">
      <c r="A133" s="291" t="s">
        <v>132</v>
      </c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3"/>
    </row>
    <row r="134" spans="1:12" x14ac:dyDescent="0.25">
      <c r="A134" s="294" t="s">
        <v>133</v>
      </c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6"/>
    </row>
    <row r="135" spans="1:12" x14ac:dyDescent="0.25">
      <c r="A135" s="294" t="s">
        <v>134</v>
      </c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6"/>
    </row>
    <row r="136" spans="1:12" x14ac:dyDescent="0.25">
      <c r="A136" s="294" t="s">
        <v>135</v>
      </c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6"/>
    </row>
    <row r="137" spans="1:12" x14ac:dyDescent="0.25">
      <c r="A137" s="294" t="s">
        <v>136</v>
      </c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6"/>
    </row>
    <row r="138" spans="1:12" x14ac:dyDescent="0.25">
      <c r="A138" s="294" t="s">
        <v>137</v>
      </c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6"/>
    </row>
    <row r="139" spans="1:12" ht="15.75" thickBot="1" x14ac:dyDescent="0.3">
      <c r="A139" s="309" t="s">
        <v>138</v>
      </c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1"/>
    </row>
  </sheetData>
  <mergeCells count="35">
    <mergeCell ref="A137:L137"/>
    <mergeCell ref="A138:L138"/>
    <mergeCell ref="A139:L139"/>
    <mergeCell ref="A135:L135"/>
    <mergeCell ref="A136:L136"/>
    <mergeCell ref="A133:L133"/>
    <mergeCell ref="A134:L134"/>
    <mergeCell ref="A109:L109"/>
    <mergeCell ref="A110:L110"/>
    <mergeCell ref="A116:L116"/>
    <mergeCell ref="A121:L121"/>
    <mergeCell ref="A122:L122"/>
    <mergeCell ref="A123:L123"/>
    <mergeCell ref="A124:L124"/>
    <mergeCell ref="A112:L112"/>
    <mergeCell ref="A114:L114"/>
    <mergeCell ref="A115:L115"/>
    <mergeCell ref="A118:L118"/>
    <mergeCell ref="A128:L128"/>
    <mergeCell ref="A129:L129"/>
    <mergeCell ref="A127:L127"/>
    <mergeCell ref="A125:L125"/>
    <mergeCell ref="A126:L126"/>
    <mergeCell ref="J1:L2"/>
    <mergeCell ref="H1:I1"/>
    <mergeCell ref="H2:I2"/>
    <mergeCell ref="C1:E1"/>
    <mergeCell ref="C2:E2"/>
    <mergeCell ref="F1:G2"/>
    <mergeCell ref="A108:C108"/>
    <mergeCell ref="A4:A18"/>
    <mergeCell ref="A19:A51"/>
    <mergeCell ref="A52:A60"/>
    <mergeCell ref="A61:A99"/>
    <mergeCell ref="A100:A10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Views>
    <sheetView tabSelected="1" topLeftCell="A145" zoomScale="160" zoomScaleNormal="160" workbookViewId="0">
      <selection activeCell="C158" sqref="C158"/>
    </sheetView>
  </sheetViews>
  <sheetFormatPr defaultRowHeight="15" x14ac:dyDescent="0.25"/>
  <cols>
    <col min="1" max="1" width="5.42578125" style="1" customWidth="1"/>
    <col min="2" max="2" width="7.140625" style="1" customWidth="1"/>
    <col min="3" max="3" width="47" style="1" customWidth="1"/>
    <col min="4" max="4" width="5.7109375" style="1" bestFit="1" customWidth="1"/>
    <col min="5" max="5" width="5.42578125" style="1" bestFit="1" customWidth="1"/>
    <col min="6" max="6" width="4.5703125" style="1" customWidth="1"/>
    <col min="7" max="7" width="4.42578125" style="1" customWidth="1"/>
    <col min="8" max="8" width="5" style="1" customWidth="1"/>
    <col min="9" max="9" width="4.42578125" style="1" customWidth="1"/>
    <col min="10" max="12" width="4.85546875" style="1" bestFit="1" customWidth="1"/>
    <col min="13" max="16384" width="9.140625" style="1"/>
  </cols>
  <sheetData>
    <row r="1" spans="1:12" ht="15" customHeight="1" x14ac:dyDescent="0.25">
      <c r="A1" s="2"/>
      <c r="B1" s="3"/>
      <c r="C1" s="269" t="s">
        <v>169</v>
      </c>
      <c r="D1" s="270"/>
      <c r="E1" s="271"/>
      <c r="F1" s="275" t="s">
        <v>95</v>
      </c>
      <c r="G1" s="275"/>
      <c r="H1" s="265" t="s">
        <v>216</v>
      </c>
      <c r="I1" s="266"/>
      <c r="J1" s="259" t="s">
        <v>96</v>
      </c>
      <c r="K1" s="260"/>
      <c r="L1" s="261"/>
    </row>
    <row r="2" spans="1:12" ht="15.75" thickBot="1" x14ac:dyDescent="0.3">
      <c r="A2" s="4"/>
      <c r="B2" s="5"/>
      <c r="C2" s="272" t="s">
        <v>215</v>
      </c>
      <c r="D2" s="273"/>
      <c r="E2" s="274"/>
      <c r="F2" s="276"/>
      <c r="G2" s="276"/>
      <c r="H2" s="325"/>
      <c r="I2" s="326"/>
      <c r="J2" s="262"/>
      <c r="K2" s="263"/>
      <c r="L2" s="264"/>
    </row>
    <row r="3" spans="1:12" ht="23.25" thickBot="1" x14ac:dyDescent="0.3">
      <c r="A3" s="111" t="s">
        <v>93</v>
      </c>
      <c r="B3" s="112" t="s">
        <v>0</v>
      </c>
      <c r="C3" s="72" t="s">
        <v>14</v>
      </c>
      <c r="D3" s="84" t="s">
        <v>92</v>
      </c>
      <c r="E3" s="96" t="s">
        <v>1</v>
      </c>
      <c r="F3" s="113" t="s">
        <v>97</v>
      </c>
      <c r="G3" s="114" t="s">
        <v>98</v>
      </c>
      <c r="H3" s="115" t="s">
        <v>97</v>
      </c>
      <c r="I3" s="116" t="s">
        <v>98</v>
      </c>
      <c r="J3" s="117">
        <v>100</v>
      </c>
      <c r="K3" s="118">
        <v>50</v>
      </c>
      <c r="L3" s="119">
        <v>25</v>
      </c>
    </row>
    <row r="4" spans="1:12" x14ac:dyDescent="0.25">
      <c r="A4" s="279" t="s">
        <v>7</v>
      </c>
      <c r="B4" s="225" t="s">
        <v>2</v>
      </c>
      <c r="C4" s="69" t="s">
        <v>15</v>
      </c>
      <c r="D4" s="85">
        <v>60</v>
      </c>
      <c r="E4" s="235">
        <v>6.5000000000000002E-2</v>
      </c>
      <c r="F4" s="40">
        <v>1.18</v>
      </c>
      <c r="G4" s="40">
        <v>1.23</v>
      </c>
      <c r="H4" s="46">
        <f>F4/1.09</f>
        <v>1.0825688073394495</v>
      </c>
      <c r="I4" s="46">
        <f>G4/1.09</f>
        <v>1.128440366972477</v>
      </c>
      <c r="J4" s="59">
        <v>1.1100000000000001</v>
      </c>
      <c r="K4" s="73">
        <f>J4/1.19</f>
        <v>0.93277310924369761</v>
      </c>
      <c r="L4" s="74">
        <f>J4/1.29</f>
        <v>0.86046511627906985</v>
      </c>
    </row>
    <row r="5" spans="1:12" x14ac:dyDescent="0.25">
      <c r="A5" s="280"/>
      <c r="B5" s="241" t="s">
        <v>3</v>
      </c>
      <c r="C5" s="204" t="s">
        <v>16</v>
      </c>
      <c r="D5" s="243">
        <v>12</v>
      </c>
      <c r="E5" s="245">
        <v>6.5000000000000002E-2</v>
      </c>
      <c r="F5" s="41">
        <v>4.3899999999999997</v>
      </c>
      <c r="G5" s="41">
        <v>4.8099999999999996</v>
      </c>
      <c r="H5" s="45">
        <f t="shared" ref="H5:H71" si="0">F5/1.09</f>
        <v>4.0275229357798157</v>
      </c>
      <c r="I5" s="45">
        <f t="shared" ref="I5:I71" si="1">G5/1.09</f>
        <v>4.4128440366972468</v>
      </c>
      <c r="J5" s="60">
        <v>3.88</v>
      </c>
      <c r="K5" s="47">
        <f t="shared" ref="K5:K71" si="2">J5/1.19</f>
        <v>3.2605042016806722</v>
      </c>
      <c r="L5" s="48">
        <f t="shared" ref="L5:L71" si="3">J5/1.29</f>
        <v>3.0077519379844961</v>
      </c>
    </row>
    <row r="6" spans="1:12" x14ac:dyDescent="0.25">
      <c r="A6" s="280"/>
      <c r="B6" s="241" t="s">
        <v>4</v>
      </c>
      <c r="C6" s="204" t="s">
        <v>17</v>
      </c>
      <c r="D6" s="243">
        <v>60</v>
      </c>
      <c r="E6" s="245">
        <v>6.5000000000000002E-2</v>
      </c>
      <c r="F6" s="41">
        <v>0.71</v>
      </c>
      <c r="G6" s="41">
        <v>0.78</v>
      </c>
      <c r="H6" s="45">
        <f t="shared" si="0"/>
        <v>0.6513761467889907</v>
      </c>
      <c r="I6" s="45">
        <f t="shared" si="1"/>
        <v>0.71559633027522929</v>
      </c>
      <c r="J6" s="60">
        <v>0.66</v>
      </c>
      <c r="K6" s="47">
        <f t="shared" si="2"/>
        <v>0.55462184873949583</v>
      </c>
      <c r="L6" s="48">
        <f t="shared" si="3"/>
        <v>0.51162790697674421</v>
      </c>
    </row>
    <row r="7" spans="1:12" x14ac:dyDescent="0.25">
      <c r="A7" s="280"/>
      <c r="B7" s="241" t="s">
        <v>5</v>
      </c>
      <c r="C7" s="204" t="s">
        <v>18</v>
      </c>
      <c r="D7" s="243">
        <v>12</v>
      </c>
      <c r="E7" s="245">
        <v>6.5000000000000002E-2</v>
      </c>
      <c r="F7" s="41">
        <v>3.34</v>
      </c>
      <c r="G7" s="41">
        <v>3.73</v>
      </c>
      <c r="H7" s="45">
        <f t="shared" si="0"/>
        <v>3.0642201834862384</v>
      </c>
      <c r="I7" s="45">
        <f>G7/1.09</f>
        <v>3.4220183486238529</v>
      </c>
      <c r="J7" s="60">
        <v>3</v>
      </c>
      <c r="K7" s="47">
        <f t="shared" si="2"/>
        <v>2.5210084033613445</v>
      </c>
      <c r="L7" s="48">
        <f t="shared" si="3"/>
        <v>2.3255813953488373</v>
      </c>
    </row>
    <row r="8" spans="1:12" x14ac:dyDescent="0.25">
      <c r="A8" s="280"/>
      <c r="B8" s="241" t="s">
        <v>154</v>
      </c>
      <c r="C8" s="204" t="s">
        <v>155</v>
      </c>
      <c r="D8" s="243">
        <v>5</v>
      </c>
      <c r="E8" s="245">
        <v>6.5000000000000002E-2</v>
      </c>
      <c r="F8" s="41">
        <v>11.13</v>
      </c>
      <c r="G8" s="41">
        <v>11.63</v>
      </c>
      <c r="H8" s="45">
        <f t="shared" si="0"/>
        <v>10.211009174311927</v>
      </c>
      <c r="I8" s="45">
        <f>G8/1.09</f>
        <v>10.669724770642201</v>
      </c>
      <c r="J8" s="60">
        <v>11.01</v>
      </c>
      <c r="K8" s="47">
        <f t="shared" si="2"/>
        <v>9.2521008403361353</v>
      </c>
      <c r="L8" s="48">
        <f t="shared" si="3"/>
        <v>8.5348837209302317</v>
      </c>
    </row>
    <row r="9" spans="1:12" x14ac:dyDescent="0.25">
      <c r="A9" s="280"/>
      <c r="B9" s="241">
        <v>1010</v>
      </c>
      <c r="C9" s="204" t="s">
        <v>19</v>
      </c>
      <c r="D9" s="243">
        <v>12</v>
      </c>
      <c r="E9" s="245">
        <v>6.5000000000000002E-2</v>
      </c>
      <c r="F9" s="41">
        <v>3.66</v>
      </c>
      <c r="G9" s="41">
        <v>3.94</v>
      </c>
      <c r="H9" s="45">
        <f t="shared" si="0"/>
        <v>3.3577981651376145</v>
      </c>
      <c r="I9" s="45">
        <f t="shared" si="1"/>
        <v>3.6146788990825685</v>
      </c>
      <c r="J9" s="60">
        <v>3.3</v>
      </c>
      <c r="K9" s="47">
        <f t="shared" si="2"/>
        <v>2.7731092436974789</v>
      </c>
      <c r="L9" s="48">
        <f t="shared" si="3"/>
        <v>2.5581395348837206</v>
      </c>
    </row>
    <row r="10" spans="1:12" x14ac:dyDescent="0.25">
      <c r="A10" s="280"/>
      <c r="B10" s="241">
        <v>1011</v>
      </c>
      <c r="C10" s="204" t="s">
        <v>20</v>
      </c>
      <c r="D10" s="243">
        <v>12</v>
      </c>
      <c r="E10" s="245">
        <v>6.5000000000000002E-2</v>
      </c>
      <c r="F10" s="41">
        <v>11.5</v>
      </c>
      <c r="G10" s="41">
        <v>11.63</v>
      </c>
      <c r="H10" s="45">
        <f t="shared" si="0"/>
        <v>10.55045871559633</v>
      </c>
      <c r="I10" s="45">
        <f t="shared" si="1"/>
        <v>10.669724770642201</v>
      </c>
      <c r="J10" s="60">
        <v>11.36</v>
      </c>
      <c r="K10" s="47">
        <f t="shared" si="2"/>
        <v>9.5462184873949578</v>
      </c>
      <c r="L10" s="48">
        <f t="shared" si="3"/>
        <v>8.8062015503875966</v>
      </c>
    </row>
    <row r="11" spans="1:12" x14ac:dyDescent="0.25">
      <c r="A11" s="280"/>
      <c r="B11" s="241">
        <v>1012</v>
      </c>
      <c r="C11" s="204" t="s">
        <v>21</v>
      </c>
      <c r="D11" s="243">
        <v>12</v>
      </c>
      <c r="E11" s="245">
        <v>6.5000000000000002E-2</v>
      </c>
      <c r="F11" s="41">
        <v>9.14</v>
      </c>
      <c r="G11" s="41">
        <v>9.24</v>
      </c>
      <c r="H11" s="45">
        <f t="shared" si="0"/>
        <v>8.3853211009174302</v>
      </c>
      <c r="I11" s="45">
        <f t="shared" si="1"/>
        <v>8.477064220183486</v>
      </c>
      <c r="J11" s="60">
        <v>9.0399999999999991</v>
      </c>
      <c r="K11" s="47">
        <f t="shared" si="2"/>
        <v>7.5966386554621845</v>
      </c>
      <c r="L11" s="48">
        <f t="shared" si="3"/>
        <v>7.0077519379844952</v>
      </c>
    </row>
    <row r="12" spans="1:12" x14ac:dyDescent="0.25">
      <c r="A12" s="280"/>
      <c r="B12" s="241">
        <v>1013</v>
      </c>
      <c r="C12" s="204" t="s">
        <v>22</v>
      </c>
      <c r="D12" s="243">
        <v>12</v>
      </c>
      <c r="E12" s="245">
        <v>6.5000000000000002E-2</v>
      </c>
      <c r="F12" s="41">
        <v>19.55</v>
      </c>
      <c r="G12" s="41">
        <v>19.739999999999998</v>
      </c>
      <c r="H12" s="45">
        <f t="shared" si="0"/>
        <v>17.935779816513762</v>
      </c>
      <c r="I12" s="45">
        <f t="shared" si="1"/>
        <v>18.110091743119263</v>
      </c>
      <c r="J12" s="60">
        <v>19.329999999999998</v>
      </c>
      <c r="K12" s="47">
        <f t="shared" si="2"/>
        <v>16.243697478991596</v>
      </c>
      <c r="L12" s="48">
        <f t="shared" si="3"/>
        <v>14.984496124031006</v>
      </c>
    </row>
    <row r="13" spans="1:12" x14ac:dyDescent="0.25">
      <c r="A13" s="280"/>
      <c r="B13" s="241">
        <v>1023</v>
      </c>
      <c r="C13" s="204" t="s">
        <v>23</v>
      </c>
      <c r="D13" s="243">
        <v>12</v>
      </c>
      <c r="E13" s="245">
        <v>6.5000000000000002E-2</v>
      </c>
      <c r="F13" s="41">
        <v>7.53</v>
      </c>
      <c r="G13" s="41">
        <v>7.91</v>
      </c>
      <c r="H13" s="45">
        <f t="shared" si="0"/>
        <v>6.9082568807339451</v>
      </c>
      <c r="I13" s="45">
        <f t="shared" si="1"/>
        <v>7.2568807339449535</v>
      </c>
      <c r="J13" s="60">
        <v>7.04</v>
      </c>
      <c r="K13" s="47">
        <f t="shared" si="2"/>
        <v>5.9159663865546221</v>
      </c>
      <c r="L13" s="48">
        <f t="shared" si="3"/>
        <v>5.4573643410852712</v>
      </c>
    </row>
    <row r="14" spans="1:12" x14ac:dyDescent="0.25">
      <c r="A14" s="280"/>
      <c r="B14" s="241">
        <v>1024</v>
      </c>
      <c r="C14" s="204" t="s">
        <v>24</v>
      </c>
      <c r="D14" s="243">
        <v>12</v>
      </c>
      <c r="E14" s="245">
        <v>6.5000000000000002E-2</v>
      </c>
      <c r="F14" s="41">
        <v>9.65</v>
      </c>
      <c r="G14" s="41">
        <v>10.19</v>
      </c>
      <c r="H14" s="45">
        <f t="shared" si="0"/>
        <v>8.853211009174311</v>
      </c>
      <c r="I14" s="45">
        <f t="shared" si="1"/>
        <v>9.3486238532110075</v>
      </c>
      <c r="J14" s="60">
        <v>8.98</v>
      </c>
      <c r="K14" s="47">
        <f t="shared" si="2"/>
        <v>7.5462184873949587</v>
      </c>
      <c r="L14" s="48">
        <f t="shared" si="3"/>
        <v>6.9612403100775193</v>
      </c>
    </row>
    <row r="15" spans="1:12" x14ac:dyDescent="0.25">
      <c r="A15" s="280"/>
      <c r="B15" s="241">
        <v>1025</v>
      </c>
      <c r="C15" s="204" t="s">
        <v>25</v>
      </c>
      <c r="D15" s="243">
        <v>12</v>
      </c>
      <c r="E15" s="245">
        <v>6.5000000000000002E-2</v>
      </c>
      <c r="F15" s="41">
        <v>11.78</v>
      </c>
      <c r="G15" s="41">
        <v>12.48</v>
      </c>
      <c r="H15" s="45">
        <f t="shared" si="0"/>
        <v>10.807339449541283</v>
      </c>
      <c r="I15" s="45">
        <f t="shared" si="1"/>
        <v>11.449541284403669</v>
      </c>
      <c r="J15" s="60">
        <v>10.91</v>
      </c>
      <c r="K15" s="47">
        <f t="shared" si="2"/>
        <v>9.1680672268907575</v>
      </c>
      <c r="L15" s="48">
        <f t="shared" si="3"/>
        <v>8.4573643410852704</v>
      </c>
    </row>
    <row r="16" spans="1:12" x14ac:dyDescent="0.25">
      <c r="A16" s="280"/>
      <c r="B16" s="241" t="s">
        <v>157</v>
      </c>
      <c r="C16" s="204" t="s">
        <v>158</v>
      </c>
      <c r="D16" s="243">
        <v>12</v>
      </c>
      <c r="E16" s="245">
        <v>6.5000000000000002E-2</v>
      </c>
      <c r="F16" s="41">
        <v>7.35</v>
      </c>
      <c r="G16" s="41">
        <v>7.5</v>
      </c>
      <c r="H16" s="45">
        <f t="shared" si="0"/>
        <v>6.7431192660550447</v>
      </c>
      <c r="I16" s="45">
        <f t="shared" si="1"/>
        <v>6.8807339449541276</v>
      </c>
      <c r="J16" s="60">
        <v>7.19</v>
      </c>
      <c r="K16" s="47">
        <f t="shared" si="2"/>
        <v>6.0420168067226898</v>
      </c>
      <c r="L16" s="48">
        <f t="shared" si="3"/>
        <v>5.5736434108527133</v>
      </c>
    </row>
    <row r="17" spans="1:12" x14ac:dyDescent="0.25">
      <c r="A17" s="280"/>
      <c r="B17" s="241" t="s">
        <v>6</v>
      </c>
      <c r="C17" s="204" t="s">
        <v>26</v>
      </c>
      <c r="D17" s="243">
        <v>12</v>
      </c>
      <c r="E17" s="245">
        <v>6.5000000000000002E-2</v>
      </c>
      <c r="F17" s="41">
        <v>10.89</v>
      </c>
      <c r="G17" s="41">
        <v>11.11</v>
      </c>
      <c r="H17" s="45">
        <f t="shared" si="0"/>
        <v>9.9908256880733948</v>
      </c>
      <c r="I17" s="45">
        <f t="shared" si="1"/>
        <v>10.192660550458715</v>
      </c>
      <c r="J17" s="60">
        <v>10.6</v>
      </c>
      <c r="K17" s="47">
        <f t="shared" si="2"/>
        <v>8.9075630252100844</v>
      </c>
      <c r="L17" s="48">
        <f t="shared" si="3"/>
        <v>8.2170542635658919</v>
      </c>
    </row>
    <row r="18" spans="1:12" ht="15.75" thickBot="1" x14ac:dyDescent="0.3">
      <c r="A18" s="290"/>
      <c r="B18" s="242">
        <v>1038</v>
      </c>
      <c r="C18" s="223" t="s">
        <v>27</v>
      </c>
      <c r="D18" s="244">
        <v>24</v>
      </c>
      <c r="E18" s="246">
        <v>6.5000000000000002E-2</v>
      </c>
      <c r="F18" s="42">
        <v>4.7</v>
      </c>
      <c r="G18" s="42">
        <v>4.84</v>
      </c>
      <c r="H18" s="128">
        <f t="shared" si="0"/>
        <v>4.3119266055045866</v>
      </c>
      <c r="I18" s="128">
        <f t="shared" si="1"/>
        <v>4.4403669724770634</v>
      </c>
      <c r="J18" s="109">
        <v>4.55</v>
      </c>
      <c r="K18" s="121">
        <f t="shared" si="2"/>
        <v>3.8235294117647061</v>
      </c>
      <c r="L18" s="120">
        <f t="shared" si="3"/>
        <v>3.527131782945736</v>
      </c>
    </row>
    <row r="19" spans="1:12" ht="15" customHeight="1" x14ac:dyDescent="0.25">
      <c r="A19" s="282" t="s">
        <v>180</v>
      </c>
      <c r="B19" s="200">
        <v>2100</v>
      </c>
      <c r="C19" s="201" t="s">
        <v>28</v>
      </c>
      <c r="D19" s="202">
        <v>6</v>
      </c>
      <c r="E19" s="203">
        <v>6.5000000000000002E-2</v>
      </c>
      <c r="F19" s="43">
        <v>10.8</v>
      </c>
      <c r="G19" s="43">
        <v>12.05</v>
      </c>
      <c r="H19" s="45">
        <f t="shared" si="0"/>
        <v>9.9082568807339442</v>
      </c>
      <c r="I19" s="45">
        <f t="shared" si="1"/>
        <v>11.055045871559633</v>
      </c>
      <c r="J19" s="252">
        <v>9.25</v>
      </c>
      <c r="K19" s="47">
        <f t="shared" si="2"/>
        <v>7.7731092436974789</v>
      </c>
      <c r="L19" s="48">
        <f t="shared" si="3"/>
        <v>7.1705426356589141</v>
      </c>
    </row>
    <row r="20" spans="1:12" x14ac:dyDescent="0.25">
      <c r="A20" s="282"/>
      <c r="B20" s="200">
        <v>2101</v>
      </c>
      <c r="C20" s="201" t="s">
        <v>156</v>
      </c>
      <c r="D20" s="202">
        <v>6</v>
      </c>
      <c r="E20" s="203">
        <v>6.5000000000000002E-2</v>
      </c>
      <c r="F20" s="41">
        <v>8.7799999999999994</v>
      </c>
      <c r="G20" s="41">
        <v>9.98</v>
      </c>
      <c r="H20" s="176">
        <f t="shared" si="0"/>
        <v>8.0550458715596314</v>
      </c>
      <c r="I20" s="176">
        <f t="shared" si="1"/>
        <v>9.1559633027522924</v>
      </c>
      <c r="J20" s="177">
        <v>7.29</v>
      </c>
      <c r="K20" s="178">
        <f t="shared" si="2"/>
        <v>6.1260504201680677</v>
      </c>
      <c r="L20" s="179">
        <f t="shared" si="3"/>
        <v>5.6511627906976747</v>
      </c>
    </row>
    <row r="21" spans="1:12" x14ac:dyDescent="0.25">
      <c r="A21" s="282"/>
      <c r="B21" s="200">
        <v>2102</v>
      </c>
      <c r="C21" s="201" t="s">
        <v>159</v>
      </c>
      <c r="D21" s="202">
        <v>6</v>
      </c>
      <c r="E21" s="198">
        <v>9.7500000000000003E-2</v>
      </c>
      <c r="F21" s="41">
        <v>9.0500000000000007</v>
      </c>
      <c r="G21" s="41">
        <v>10.65</v>
      </c>
      <c r="H21" s="45">
        <f t="shared" si="0"/>
        <v>8.3027522935779814</v>
      </c>
      <c r="I21" s="45">
        <f t="shared" si="1"/>
        <v>9.7706422018348622</v>
      </c>
      <c r="J21" s="60">
        <v>7.04</v>
      </c>
      <c r="K21" s="47">
        <f t="shared" si="2"/>
        <v>5.9159663865546221</v>
      </c>
      <c r="L21" s="48">
        <f t="shared" si="3"/>
        <v>5.4573643410852712</v>
      </c>
    </row>
    <row r="22" spans="1:12" x14ac:dyDescent="0.25">
      <c r="A22" s="282"/>
      <c r="B22" s="200">
        <v>2103</v>
      </c>
      <c r="C22" s="201" t="s">
        <v>160</v>
      </c>
      <c r="D22" s="202">
        <v>6</v>
      </c>
      <c r="E22" s="198">
        <v>9.7500000000000003E-2</v>
      </c>
      <c r="F22" s="41">
        <v>6.79</v>
      </c>
      <c r="G22" s="41">
        <v>7.46</v>
      </c>
      <c r="H22" s="45">
        <f t="shared" si="0"/>
        <v>6.2293577981651369</v>
      </c>
      <c r="I22" s="45">
        <f t="shared" si="1"/>
        <v>6.8440366972477058</v>
      </c>
      <c r="J22" s="60">
        <v>5.93</v>
      </c>
      <c r="K22" s="47">
        <f t="shared" si="2"/>
        <v>4.9831932773109244</v>
      </c>
      <c r="L22" s="48">
        <f t="shared" si="3"/>
        <v>4.5968992248062008</v>
      </c>
    </row>
    <row r="23" spans="1:12" x14ac:dyDescent="0.25">
      <c r="A23" s="282"/>
      <c r="B23" s="200">
        <v>2104</v>
      </c>
      <c r="C23" s="201" t="s">
        <v>162</v>
      </c>
      <c r="D23" s="202">
        <v>12</v>
      </c>
      <c r="E23" s="203">
        <v>6.5000000000000002E-2</v>
      </c>
      <c r="F23" s="41">
        <v>11.25</v>
      </c>
      <c r="G23" s="41">
        <v>12.78</v>
      </c>
      <c r="H23" s="45">
        <f t="shared" si="0"/>
        <v>10.321100917431192</v>
      </c>
      <c r="I23" s="45">
        <f t="shared" si="1"/>
        <v>11.724770642201834</v>
      </c>
      <c r="J23" s="60">
        <v>9.35</v>
      </c>
      <c r="K23" s="47">
        <f t="shared" si="2"/>
        <v>7.8571428571428568</v>
      </c>
      <c r="L23" s="48">
        <f t="shared" si="3"/>
        <v>7.2480620155038755</v>
      </c>
    </row>
    <row r="24" spans="1:12" x14ac:dyDescent="0.25">
      <c r="A24" s="282"/>
      <c r="B24" s="200">
        <v>2105</v>
      </c>
      <c r="C24" s="201" t="s">
        <v>181</v>
      </c>
      <c r="D24" s="202">
        <v>6</v>
      </c>
      <c r="E24" s="198">
        <v>9.7500000000000003E-2</v>
      </c>
      <c r="F24" s="41">
        <v>11.96</v>
      </c>
      <c r="G24" s="41">
        <v>13.46</v>
      </c>
      <c r="H24" s="45">
        <f t="shared" si="0"/>
        <v>10.972477064220184</v>
      </c>
      <c r="I24" s="45">
        <f t="shared" si="1"/>
        <v>12.348623853211009</v>
      </c>
      <c r="J24" s="60">
        <v>10.1</v>
      </c>
      <c r="K24" s="47">
        <f t="shared" si="2"/>
        <v>8.4873949579831933</v>
      </c>
      <c r="L24" s="48">
        <f t="shared" si="3"/>
        <v>7.829457364341085</v>
      </c>
    </row>
    <row r="25" spans="1:12" x14ac:dyDescent="0.25">
      <c r="A25" s="282"/>
      <c r="B25" s="200">
        <v>2106</v>
      </c>
      <c r="C25" s="201" t="s">
        <v>182</v>
      </c>
      <c r="D25" s="202">
        <v>12</v>
      </c>
      <c r="E25" s="198">
        <v>9.7500000000000003E-2</v>
      </c>
      <c r="F25" s="41">
        <v>10.31</v>
      </c>
      <c r="G25" s="41">
        <v>11.25</v>
      </c>
      <c r="H25" s="45">
        <f t="shared" si="0"/>
        <v>9.4587155963302756</v>
      </c>
      <c r="I25" s="45">
        <f t="shared" si="1"/>
        <v>10.321100917431192</v>
      </c>
      <c r="J25" s="60">
        <v>9.1</v>
      </c>
      <c r="K25" s="47">
        <f t="shared" si="2"/>
        <v>7.6470588235294121</v>
      </c>
      <c r="L25" s="48">
        <f t="shared" si="3"/>
        <v>7.0542635658914721</v>
      </c>
    </row>
    <row r="26" spans="1:12" x14ac:dyDescent="0.25">
      <c r="A26" s="282"/>
      <c r="B26" s="200">
        <v>2107</v>
      </c>
      <c r="C26" s="201" t="s">
        <v>183</v>
      </c>
      <c r="D26" s="202">
        <v>6</v>
      </c>
      <c r="E26" s="198">
        <v>9.7500000000000003E-2</v>
      </c>
      <c r="F26" s="41">
        <v>10.81</v>
      </c>
      <c r="G26" s="41">
        <v>11.38</v>
      </c>
      <c r="H26" s="45">
        <f t="shared" si="0"/>
        <v>9.9174311926605494</v>
      </c>
      <c r="I26" s="45">
        <f t="shared" si="1"/>
        <v>10.440366972477063</v>
      </c>
      <c r="J26" s="60">
        <v>10.130000000000001</v>
      </c>
      <c r="K26" s="47">
        <f t="shared" si="2"/>
        <v>8.5126050420168085</v>
      </c>
      <c r="L26" s="48">
        <f t="shared" si="3"/>
        <v>7.8527131782945743</v>
      </c>
    </row>
    <row r="27" spans="1:12" x14ac:dyDescent="0.25">
      <c r="A27" s="282"/>
      <c r="B27" s="195">
        <v>2139</v>
      </c>
      <c r="C27" s="194" t="s">
        <v>184</v>
      </c>
      <c r="D27" s="196">
        <v>12</v>
      </c>
      <c r="E27" s="198">
        <v>9.7500000000000003E-2</v>
      </c>
      <c r="F27" s="41">
        <v>4.16</v>
      </c>
      <c r="G27" s="41">
        <v>4.33</v>
      </c>
      <c r="H27" s="45">
        <f t="shared" si="0"/>
        <v>3.8165137614678897</v>
      </c>
      <c r="I27" s="45">
        <f t="shared" si="1"/>
        <v>3.9724770642201834</v>
      </c>
      <c r="J27" s="60">
        <v>3.95</v>
      </c>
      <c r="K27" s="47">
        <f t="shared" si="2"/>
        <v>3.3193277310924372</v>
      </c>
      <c r="L27" s="48">
        <f t="shared" si="3"/>
        <v>3.0620155038759691</v>
      </c>
    </row>
    <row r="28" spans="1:12" x14ac:dyDescent="0.25">
      <c r="A28" s="282"/>
      <c r="B28" s="195">
        <v>2140</v>
      </c>
      <c r="C28" s="194" t="s">
        <v>185</v>
      </c>
      <c r="D28" s="196">
        <v>24</v>
      </c>
      <c r="E28" s="198">
        <v>9.7500000000000003E-2</v>
      </c>
      <c r="F28" s="41">
        <v>0.83</v>
      </c>
      <c r="G28" s="41">
        <v>0.84</v>
      </c>
      <c r="H28" s="45">
        <f t="shared" si="0"/>
        <v>0.76146788990825676</v>
      </c>
      <c r="I28" s="45">
        <f t="shared" si="1"/>
        <v>0.77064220183486232</v>
      </c>
      <c r="J28" s="60">
        <v>0.8</v>
      </c>
      <c r="K28" s="47">
        <f t="shared" si="2"/>
        <v>0.67226890756302526</v>
      </c>
      <c r="L28" s="48">
        <f t="shared" si="3"/>
        <v>0.62015503875968991</v>
      </c>
    </row>
    <row r="29" spans="1:12" x14ac:dyDescent="0.25">
      <c r="A29" s="282"/>
      <c r="B29" s="195">
        <v>2141</v>
      </c>
      <c r="C29" s="194" t="s">
        <v>186</v>
      </c>
      <c r="D29" s="196">
        <v>12</v>
      </c>
      <c r="E29" s="198">
        <v>9.7500000000000003E-2</v>
      </c>
      <c r="F29" s="41">
        <v>2.25</v>
      </c>
      <c r="G29" s="41">
        <v>2.44</v>
      </c>
      <c r="H29" s="45">
        <f t="shared" si="0"/>
        <v>2.0642201834862384</v>
      </c>
      <c r="I29" s="45">
        <f t="shared" si="1"/>
        <v>2.238532110091743</v>
      </c>
      <c r="J29" s="60">
        <v>2.0099999999999998</v>
      </c>
      <c r="K29" s="47">
        <f t="shared" si="2"/>
        <v>1.6890756302521008</v>
      </c>
      <c r="L29" s="48">
        <f t="shared" si="3"/>
        <v>1.5581395348837208</v>
      </c>
    </row>
    <row r="30" spans="1:12" x14ac:dyDescent="0.25">
      <c r="A30" s="282"/>
      <c r="B30" s="195">
        <v>2142</v>
      </c>
      <c r="C30" s="194" t="s">
        <v>187</v>
      </c>
      <c r="D30" s="196">
        <v>12</v>
      </c>
      <c r="E30" s="198">
        <v>9.7500000000000003E-2</v>
      </c>
      <c r="F30" s="41">
        <v>3.43</v>
      </c>
      <c r="G30" s="41">
        <v>3.71</v>
      </c>
      <c r="H30" s="45">
        <f t="shared" si="0"/>
        <v>3.1467889908256881</v>
      </c>
      <c r="I30" s="45">
        <f t="shared" si="1"/>
        <v>3.403669724770642</v>
      </c>
      <c r="J30" s="60">
        <v>3.06</v>
      </c>
      <c r="K30" s="47">
        <f t="shared" si="2"/>
        <v>2.5714285714285716</v>
      </c>
      <c r="L30" s="48">
        <f t="shared" si="3"/>
        <v>2.3720930232558137</v>
      </c>
    </row>
    <row r="31" spans="1:12" x14ac:dyDescent="0.25">
      <c r="A31" s="282"/>
      <c r="B31" s="195">
        <v>2143</v>
      </c>
      <c r="C31" s="194" t="s">
        <v>188</v>
      </c>
      <c r="D31" s="196">
        <v>12</v>
      </c>
      <c r="E31" s="198">
        <v>9.7500000000000003E-2</v>
      </c>
      <c r="F31" s="41">
        <v>4.51</v>
      </c>
      <c r="G31" s="41">
        <v>5.01</v>
      </c>
      <c r="H31" s="45">
        <f t="shared" si="0"/>
        <v>4.137614678899082</v>
      </c>
      <c r="I31" s="45">
        <f t="shared" si="1"/>
        <v>4.5963302752293576</v>
      </c>
      <c r="J31" s="60">
        <v>3.88</v>
      </c>
      <c r="K31" s="47">
        <f t="shared" si="2"/>
        <v>3.2605042016806722</v>
      </c>
      <c r="L31" s="48">
        <f t="shared" si="3"/>
        <v>3.0077519379844961</v>
      </c>
    </row>
    <row r="32" spans="1:12" x14ac:dyDescent="0.25">
      <c r="A32" s="282"/>
      <c r="B32" s="195">
        <v>2144</v>
      </c>
      <c r="C32" s="194" t="s">
        <v>189</v>
      </c>
      <c r="D32" s="196">
        <v>12</v>
      </c>
      <c r="E32" s="198">
        <v>9.7500000000000003E-2</v>
      </c>
      <c r="F32" s="41">
        <v>5.81</v>
      </c>
      <c r="G32" s="41">
        <v>6.55</v>
      </c>
      <c r="H32" s="45">
        <f t="shared" si="0"/>
        <v>5.3302752293577971</v>
      </c>
      <c r="I32" s="45">
        <f t="shared" si="1"/>
        <v>6.0091743119266052</v>
      </c>
      <c r="J32" s="60">
        <v>4.9000000000000004</v>
      </c>
      <c r="K32" s="47">
        <f t="shared" si="2"/>
        <v>4.1176470588235299</v>
      </c>
      <c r="L32" s="48">
        <f t="shared" si="3"/>
        <v>3.7984496124031009</v>
      </c>
    </row>
    <row r="33" spans="1:12" x14ac:dyDescent="0.25">
      <c r="A33" s="282"/>
      <c r="B33" s="195">
        <v>2145</v>
      </c>
      <c r="C33" s="194" t="s">
        <v>190</v>
      </c>
      <c r="D33" s="196">
        <v>12</v>
      </c>
      <c r="E33" s="198">
        <v>9.7500000000000003E-2</v>
      </c>
      <c r="F33" s="41">
        <v>4.6100000000000003</v>
      </c>
      <c r="G33" s="41">
        <v>5.1100000000000003</v>
      </c>
      <c r="H33" s="45">
        <f t="shared" si="0"/>
        <v>4.2293577981651378</v>
      </c>
      <c r="I33" s="45">
        <f t="shared" si="1"/>
        <v>4.6880733944954125</v>
      </c>
      <c r="J33" s="60">
        <v>3.99</v>
      </c>
      <c r="K33" s="47">
        <f t="shared" si="2"/>
        <v>3.3529411764705888</v>
      </c>
      <c r="L33" s="48">
        <f t="shared" si="3"/>
        <v>3.0930232558139537</v>
      </c>
    </row>
    <row r="34" spans="1:12" x14ac:dyDescent="0.25">
      <c r="A34" s="282"/>
      <c r="B34" s="195">
        <v>2146</v>
      </c>
      <c r="C34" s="194" t="s">
        <v>191</v>
      </c>
      <c r="D34" s="196">
        <v>12</v>
      </c>
      <c r="E34" s="198">
        <v>9.7500000000000003E-2</v>
      </c>
      <c r="F34" s="41">
        <v>1.74</v>
      </c>
      <c r="G34" s="41">
        <v>1.79</v>
      </c>
      <c r="H34" s="45">
        <f t="shared" si="0"/>
        <v>1.5963302752293578</v>
      </c>
      <c r="I34" s="45">
        <f t="shared" si="1"/>
        <v>1.6422018348623852</v>
      </c>
      <c r="J34" s="60">
        <v>1.68</v>
      </c>
      <c r="K34" s="47">
        <f t="shared" si="2"/>
        <v>1.411764705882353</v>
      </c>
      <c r="L34" s="48">
        <f t="shared" si="3"/>
        <v>1.3023255813953487</v>
      </c>
    </row>
    <row r="35" spans="1:12" x14ac:dyDescent="0.25">
      <c r="A35" s="282"/>
      <c r="B35" s="195">
        <v>2147</v>
      </c>
      <c r="C35" s="194" t="s">
        <v>192</v>
      </c>
      <c r="D35" s="196">
        <v>12</v>
      </c>
      <c r="E35" s="197">
        <v>6.5000000000000002E-2</v>
      </c>
      <c r="F35" s="41">
        <v>7.21</v>
      </c>
      <c r="G35" s="41">
        <v>7.49</v>
      </c>
      <c r="H35" s="45">
        <f t="shared" si="0"/>
        <v>6.614678899082568</v>
      </c>
      <c r="I35" s="45">
        <f t="shared" si="1"/>
        <v>6.8715596330275224</v>
      </c>
      <c r="J35" s="60">
        <v>6.86</v>
      </c>
      <c r="K35" s="47">
        <f t="shared" si="2"/>
        <v>5.764705882352942</v>
      </c>
      <c r="L35" s="48">
        <f t="shared" si="3"/>
        <v>5.3178294573643408</v>
      </c>
    </row>
    <row r="36" spans="1:12" x14ac:dyDescent="0.25">
      <c r="A36" s="282"/>
      <c r="B36" s="195">
        <v>2148</v>
      </c>
      <c r="C36" s="194" t="s">
        <v>193</v>
      </c>
      <c r="D36" s="196">
        <v>24</v>
      </c>
      <c r="E36" s="197">
        <v>6.5000000000000002E-2</v>
      </c>
      <c r="F36" s="41">
        <v>1.88</v>
      </c>
      <c r="G36" s="41">
        <v>1.95</v>
      </c>
      <c r="H36" s="45">
        <f t="shared" si="0"/>
        <v>1.7247706422018347</v>
      </c>
      <c r="I36" s="45">
        <f t="shared" si="1"/>
        <v>1.7889908256880733</v>
      </c>
      <c r="J36" s="60">
        <v>1.78</v>
      </c>
      <c r="K36" s="47">
        <f t="shared" si="2"/>
        <v>1.4957983193277311</v>
      </c>
      <c r="L36" s="48">
        <f t="shared" si="3"/>
        <v>1.3798449612403101</v>
      </c>
    </row>
    <row r="37" spans="1:12" x14ac:dyDescent="0.25">
      <c r="A37" s="282"/>
      <c r="B37" s="195">
        <v>2149</v>
      </c>
      <c r="C37" s="194" t="s">
        <v>194</v>
      </c>
      <c r="D37" s="196">
        <v>24</v>
      </c>
      <c r="E37" s="197">
        <v>6.5000000000000002E-2</v>
      </c>
      <c r="F37" s="41">
        <v>1.53</v>
      </c>
      <c r="G37" s="41">
        <v>1.65</v>
      </c>
      <c r="H37" s="45">
        <f t="shared" si="0"/>
        <v>1.4036697247706422</v>
      </c>
      <c r="I37" s="45">
        <f t="shared" si="1"/>
        <v>1.5137614678899081</v>
      </c>
      <c r="J37" s="60">
        <v>1.36</v>
      </c>
      <c r="K37" s="47">
        <f t="shared" si="2"/>
        <v>1.142857142857143</v>
      </c>
      <c r="L37" s="48">
        <f t="shared" si="3"/>
        <v>1.054263565891473</v>
      </c>
    </row>
    <row r="38" spans="1:12" x14ac:dyDescent="0.25">
      <c r="A38" s="282"/>
      <c r="B38" s="195">
        <v>2150</v>
      </c>
      <c r="C38" s="194" t="s">
        <v>195</v>
      </c>
      <c r="D38" s="196">
        <v>12</v>
      </c>
      <c r="E38" s="198">
        <v>9.7500000000000003E-2</v>
      </c>
      <c r="F38" s="41">
        <v>4.21</v>
      </c>
      <c r="G38" s="41">
        <v>4.58</v>
      </c>
      <c r="H38" s="45">
        <f t="shared" si="0"/>
        <v>3.8623853211009171</v>
      </c>
      <c r="I38" s="45">
        <f t="shared" si="1"/>
        <v>4.2018348623853212</v>
      </c>
      <c r="J38" s="60">
        <v>3.76</v>
      </c>
      <c r="K38" s="47">
        <f t="shared" si="2"/>
        <v>3.1596638655462184</v>
      </c>
      <c r="L38" s="48">
        <f t="shared" si="3"/>
        <v>2.9147286821705425</v>
      </c>
    </row>
    <row r="39" spans="1:12" x14ac:dyDescent="0.25">
      <c r="A39" s="282"/>
      <c r="B39" s="195">
        <v>2151</v>
      </c>
      <c r="C39" s="194" t="s">
        <v>196</v>
      </c>
      <c r="D39" s="196">
        <v>12</v>
      </c>
      <c r="E39" s="198">
        <v>6.5000000000000002E-2</v>
      </c>
      <c r="F39" s="41">
        <v>14.71</v>
      </c>
      <c r="G39" s="41">
        <v>15.3</v>
      </c>
      <c r="H39" s="45">
        <f t="shared" si="0"/>
        <v>13.495412844036696</v>
      </c>
      <c r="I39" s="45">
        <f t="shared" si="1"/>
        <v>14.036697247706421</v>
      </c>
      <c r="J39" s="60">
        <v>14.01</v>
      </c>
      <c r="K39" s="47">
        <f t="shared" si="2"/>
        <v>11.77310924369748</v>
      </c>
      <c r="L39" s="48">
        <f t="shared" si="3"/>
        <v>10.86046511627907</v>
      </c>
    </row>
    <row r="40" spans="1:12" x14ac:dyDescent="0.25">
      <c r="A40" s="282"/>
      <c r="B40" s="195">
        <v>2152</v>
      </c>
      <c r="C40" s="194" t="s">
        <v>197</v>
      </c>
      <c r="D40" s="196">
        <v>12</v>
      </c>
      <c r="E40" s="198">
        <v>6.5000000000000002E-2</v>
      </c>
      <c r="F40" s="41">
        <v>21.34</v>
      </c>
      <c r="G40" s="41">
        <v>22.09</v>
      </c>
      <c r="H40" s="45">
        <f t="shared" si="0"/>
        <v>19.577981651376145</v>
      </c>
      <c r="I40" s="45">
        <f t="shared" si="1"/>
        <v>20.266055045871557</v>
      </c>
      <c r="J40" s="60">
        <v>20.399999999999999</v>
      </c>
      <c r="K40" s="47">
        <f t="shared" si="2"/>
        <v>17.142857142857142</v>
      </c>
      <c r="L40" s="48">
        <f t="shared" si="3"/>
        <v>15.813953488372091</v>
      </c>
    </row>
    <row r="41" spans="1:12" x14ac:dyDescent="0.25">
      <c r="A41" s="282"/>
      <c r="B41" s="195">
        <v>2513</v>
      </c>
      <c r="C41" s="194" t="s">
        <v>40</v>
      </c>
      <c r="D41" s="196">
        <v>12</v>
      </c>
      <c r="E41" s="197">
        <v>6.5000000000000002E-2</v>
      </c>
      <c r="F41" s="41">
        <v>7.53</v>
      </c>
      <c r="G41" s="41">
        <v>7.91</v>
      </c>
      <c r="H41" s="45">
        <f t="shared" si="0"/>
        <v>6.9082568807339451</v>
      </c>
      <c r="I41" s="45">
        <f t="shared" si="1"/>
        <v>7.2568807339449535</v>
      </c>
      <c r="J41" s="60">
        <v>7.04</v>
      </c>
      <c r="K41" s="47">
        <f t="shared" si="2"/>
        <v>5.9159663865546221</v>
      </c>
      <c r="L41" s="48">
        <f t="shared" si="3"/>
        <v>5.4573643410852712</v>
      </c>
    </row>
    <row r="42" spans="1:12" x14ac:dyDescent="0.25">
      <c r="A42" s="282"/>
      <c r="B42" s="195">
        <v>2601</v>
      </c>
      <c r="C42" s="194" t="s">
        <v>41</v>
      </c>
      <c r="D42" s="196">
        <v>12</v>
      </c>
      <c r="E42" s="198">
        <v>9.7500000000000003E-2</v>
      </c>
      <c r="F42" s="41">
        <v>3.64</v>
      </c>
      <c r="G42" s="41">
        <v>3.71</v>
      </c>
      <c r="H42" s="45">
        <f t="shared" si="0"/>
        <v>3.3394495412844036</v>
      </c>
      <c r="I42" s="45">
        <f t="shared" si="1"/>
        <v>3.403669724770642</v>
      </c>
      <c r="J42" s="60">
        <v>3.55</v>
      </c>
      <c r="K42" s="47">
        <f t="shared" si="2"/>
        <v>2.9831932773109244</v>
      </c>
      <c r="L42" s="48">
        <f t="shared" si="3"/>
        <v>2.751937984496124</v>
      </c>
    </row>
    <row r="43" spans="1:12" x14ac:dyDescent="0.25">
      <c r="A43" s="282"/>
      <c r="B43" s="195">
        <v>2602</v>
      </c>
      <c r="C43" s="194" t="s">
        <v>42</v>
      </c>
      <c r="D43" s="196">
        <v>12</v>
      </c>
      <c r="E43" s="198">
        <v>9.7500000000000003E-2</v>
      </c>
      <c r="F43" s="41">
        <v>5.93</v>
      </c>
      <c r="G43" s="41">
        <v>6.18</v>
      </c>
      <c r="H43" s="45">
        <f t="shared" si="0"/>
        <v>5.4403669724770634</v>
      </c>
      <c r="I43" s="45">
        <f t="shared" si="1"/>
        <v>5.6697247706422012</v>
      </c>
      <c r="J43" s="60">
        <v>5.61</v>
      </c>
      <c r="K43" s="47">
        <f t="shared" si="2"/>
        <v>4.7142857142857144</v>
      </c>
      <c r="L43" s="48">
        <f t="shared" si="3"/>
        <v>4.3488372093023253</v>
      </c>
    </row>
    <row r="44" spans="1:12" x14ac:dyDescent="0.25">
      <c r="A44" s="282"/>
      <c r="B44" s="195">
        <v>2701</v>
      </c>
      <c r="C44" s="194" t="s">
        <v>43</v>
      </c>
      <c r="D44" s="196">
        <v>12</v>
      </c>
      <c r="E44" s="198">
        <v>9.7500000000000003E-2</v>
      </c>
      <c r="F44" s="41">
        <v>2.75</v>
      </c>
      <c r="G44" s="41">
        <v>2.83</v>
      </c>
      <c r="H44" s="45">
        <f t="shared" si="0"/>
        <v>2.5229357798165135</v>
      </c>
      <c r="I44" s="45">
        <f t="shared" si="1"/>
        <v>2.5963302752293576</v>
      </c>
      <c r="J44" s="60">
        <v>2.68</v>
      </c>
      <c r="K44" s="47">
        <f t="shared" si="2"/>
        <v>2.2521008403361349</v>
      </c>
      <c r="L44" s="48">
        <f t="shared" si="3"/>
        <v>2.0775193798449614</v>
      </c>
    </row>
    <row r="45" spans="1:12" x14ac:dyDescent="0.25">
      <c r="A45" s="282"/>
      <c r="B45" s="195">
        <v>2702</v>
      </c>
      <c r="C45" s="194" t="s">
        <v>44</v>
      </c>
      <c r="D45" s="196">
        <v>12</v>
      </c>
      <c r="E45" s="198">
        <v>9.7500000000000003E-2</v>
      </c>
      <c r="F45" s="41">
        <v>4.46</v>
      </c>
      <c r="G45" s="41">
        <v>4.68</v>
      </c>
      <c r="H45" s="45">
        <f t="shared" si="0"/>
        <v>4.0917431192660549</v>
      </c>
      <c r="I45" s="45">
        <f t="shared" si="1"/>
        <v>4.2935779816513753</v>
      </c>
      <c r="J45" s="60">
        <v>4.21</v>
      </c>
      <c r="K45" s="47">
        <f t="shared" si="2"/>
        <v>3.5378151260504205</v>
      </c>
      <c r="L45" s="48">
        <f t="shared" si="3"/>
        <v>3.2635658914728682</v>
      </c>
    </row>
    <row r="46" spans="1:12" x14ac:dyDescent="0.25">
      <c r="A46" s="282"/>
      <c r="B46" s="195">
        <v>2703</v>
      </c>
      <c r="C46" s="194" t="s">
        <v>45</v>
      </c>
      <c r="D46" s="196">
        <v>12</v>
      </c>
      <c r="E46" s="198">
        <v>9.7500000000000003E-2</v>
      </c>
      <c r="F46" s="41">
        <v>7.66</v>
      </c>
      <c r="G46" s="41">
        <v>8.0399999999999991</v>
      </c>
      <c r="H46" s="45">
        <f t="shared" si="0"/>
        <v>7.0275229357798166</v>
      </c>
      <c r="I46" s="45">
        <f t="shared" si="1"/>
        <v>7.3761467889908241</v>
      </c>
      <c r="J46" s="60">
        <v>7.19</v>
      </c>
      <c r="K46" s="47">
        <f t="shared" si="2"/>
        <v>6.0420168067226898</v>
      </c>
      <c r="L46" s="48">
        <f t="shared" si="3"/>
        <v>5.5736434108527133</v>
      </c>
    </row>
    <row r="47" spans="1:12" x14ac:dyDescent="0.25">
      <c r="A47" s="282"/>
      <c r="B47" s="195">
        <v>2750</v>
      </c>
      <c r="C47" s="194" t="s">
        <v>198</v>
      </c>
      <c r="D47" s="196">
        <v>8</v>
      </c>
      <c r="E47" s="197">
        <v>6.5000000000000002E-2</v>
      </c>
      <c r="F47" s="41">
        <v>25.23</v>
      </c>
      <c r="G47" s="41">
        <v>27.65</v>
      </c>
      <c r="H47" s="45">
        <f t="shared" si="0"/>
        <v>23.146788990825687</v>
      </c>
      <c r="I47" s="45">
        <f t="shared" si="1"/>
        <v>25.366972477064216</v>
      </c>
      <c r="J47" s="60">
        <v>22.21</v>
      </c>
      <c r="K47" s="47">
        <f t="shared" si="2"/>
        <v>18.663865546218489</v>
      </c>
      <c r="L47" s="48">
        <f t="shared" si="3"/>
        <v>17.217054263565892</v>
      </c>
    </row>
    <row r="48" spans="1:12" x14ac:dyDescent="0.25">
      <c r="A48" s="282"/>
      <c r="B48" s="195">
        <v>2751</v>
      </c>
      <c r="C48" s="194" t="s">
        <v>46</v>
      </c>
      <c r="D48" s="196">
        <v>12</v>
      </c>
      <c r="E48" s="198">
        <v>9.7500000000000003E-2</v>
      </c>
      <c r="F48" s="41">
        <v>3.06</v>
      </c>
      <c r="G48" s="41">
        <v>3.11</v>
      </c>
      <c r="H48" s="45">
        <f t="shared" si="0"/>
        <v>2.8073394495412844</v>
      </c>
      <c r="I48" s="45">
        <f t="shared" si="1"/>
        <v>2.8532110091743115</v>
      </c>
      <c r="J48" s="60">
        <v>3.01</v>
      </c>
      <c r="K48" s="47">
        <f t="shared" si="2"/>
        <v>2.5294117647058822</v>
      </c>
      <c r="L48" s="48">
        <f t="shared" si="3"/>
        <v>2.333333333333333</v>
      </c>
    </row>
    <row r="49" spans="1:12" x14ac:dyDescent="0.25">
      <c r="A49" s="282"/>
      <c r="B49" s="195">
        <v>2752</v>
      </c>
      <c r="C49" s="194" t="s">
        <v>199</v>
      </c>
      <c r="D49" s="196">
        <v>24</v>
      </c>
      <c r="E49" s="197">
        <v>6.5000000000000002E-2</v>
      </c>
      <c r="F49" s="41">
        <v>3.23</v>
      </c>
      <c r="G49" s="41">
        <v>3.31</v>
      </c>
      <c r="H49" s="45">
        <f t="shared" ref="H49:H53" si="4">F49/1.09</f>
        <v>2.9633027522935778</v>
      </c>
      <c r="I49" s="45">
        <f t="shared" ref="I49:I53" si="5">G49/1.09</f>
        <v>3.0366972477064218</v>
      </c>
      <c r="J49" s="60">
        <v>3.11</v>
      </c>
      <c r="K49" s="47">
        <f t="shared" ref="K49:K53" si="6">J49/1.19</f>
        <v>2.6134453781512605</v>
      </c>
      <c r="L49" s="48">
        <f t="shared" ref="L49:L53" si="7">J49/1.29</f>
        <v>2.4108527131782944</v>
      </c>
    </row>
    <row r="50" spans="1:12" x14ac:dyDescent="0.25">
      <c r="A50" s="282"/>
      <c r="B50" s="195">
        <v>2753</v>
      </c>
      <c r="C50" s="194" t="s">
        <v>200</v>
      </c>
      <c r="D50" s="196">
        <v>12</v>
      </c>
      <c r="E50" s="197">
        <v>6.5000000000000002E-2</v>
      </c>
      <c r="F50" s="41">
        <v>15.99</v>
      </c>
      <c r="G50" s="41">
        <v>16.78</v>
      </c>
      <c r="H50" s="45">
        <f t="shared" si="4"/>
        <v>14.669724770642201</v>
      </c>
      <c r="I50" s="45">
        <f t="shared" si="5"/>
        <v>15.394495412844037</v>
      </c>
      <c r="J50" s="60">
        <v>15</v>
      </c>
      <c r="K50" s="47">
        <f t="shared" si="6"/>
        <v>12.605042016806724</v>
      </c>
      <c r="L50" s="48">
        <f t="shared" si="7"/>
        <v>11.627906976744185</v>
      </c>
    </row>
    <row r="51" spans="1:12" x14ac:dyDescent="0.25">
      <c r="A51" s="282"/>
      <c r="B51" s="195">
        <v>2754</v>
      </c>
      <c r="C51" s="194" t="s">
        <v>104</v>
      </c>
      <c r="D51" s="196">
        <v>36</v>
      </c>
      <c r="E51" s="198">
        <v>9.7500000000000003E-2</v>
      </c>
      <c r="F51" s="41">
        <v>2.04</v>
      </c>
      <c r="G51" s="41">
        <v>2.06</v>
      </c>
      <c r="H51" s="45">
        <f t="shared" si="4"/>
        <v>1.8715596330275228</v>
      </c>
      <c r="I51" s="45">
        <f t="shared" si="5"/>
        <v>1.8899082568807339</v>
      </c>
      <c r="J51" s="60">
        <v>2.0299999999999998</v>
      </c>
      <c r="K51" s="47">
        <f t="shared" si="6"/>
        <v>1.7058823529411764</v>
      </c>
      <c r="L51" s="48">
        <f t="shared" si="7"/>
        <v>1.5736434108527131</v>
      </c>
    </row>
    <row r="52" spans="1:12" x14ac:dyDescent="0.25">
      <c r="A52" s="282"/>
      <c r="B52" s="195">
        <v>2755</v>
      </c>
      <c r="C52" s="194" t="s">
        <v>105</v>
      </c>
      <c r="D52" s="196">
        <v>12</v>
      </c>
      <c r="E52" s="198">
        <v>9.7500000000000003E-2</v>
      </c>
      <c r="F52" s="41">
        <v>6.69</v>
      </c>
      <c r="G52" s="41">
        <v>6.96</v>
      </c>
      <c r="H52" s="45">
        <f t="shared" si="4"/>
        <v>6.1376146788990829</v>
      </c>
      <c r="I52" s="45">
        <f t="shared" si="5"/>
        <v>6.3853211009174311</v>
      </c>
      <c r="J52" s="60">
        <v>6.34</v>
      </c>
      <c r="K52" s="47">
        <f t="shared" si="6"/>
        <v>5.3277310924369745</v>
      </c>
      <c r="L52" s="48">
        <f t="shared" si="7"/>
        <v>4.9147286821705425</v>
      </c>
    </row>
    <row r="53" spans="1:12" ht="15.75" thickBot="1" x14ac:dyDescent="0.3">
      <c r="A53" s="312"/>
      <c r="B53" s="195">
        <v>2802</v>
      </c>
      <c r="C53" s="194" t="s">
        <v>47</v>
      </c>
      <c r="D53" s="196">
        <v>6</v>
      </c>
      <c r="E53" s="199">
        <v>9.7500000000000003E-2</v>
      </c>
      <c r="F53" s="41">
        <v>64.040000000000006</v>
      </c>
      <c r="G53" s="41">
        <v>67.400000000000006</v>
      </c>
      <c r="H53" s="45">
        <f t="shared" si="4"/>
        <v>58.752293577981654</v>
      </c>
      <c r="I53" s="45">
        <f t="shared" si="5"/>
        <v>61.834862385321102</v>
      </c>
      <c r="J53" s="60">
        <v>59.84</v>
      </c>
      <c r="K53" s="47">
        <f t="shared" si="6"/>
        <v>50.285714285714292</v>
      </c>
      <c r="L53" s="48">
        <f t="shared" si="7"/>
        <v>46.38759689922481</v>
      </c>
    </row>
    <row r="54" spans="1:12" ht="15" customHeight="1" x14ac:dyDescent="0.25">
      <c r="A54" s="283" t="s">
        <v>9</v>
      </c>
      <c r="B54" s="207">
        <v>3901</v>
      </c>
      <c r="C54" s="220" t="s">
        <v>48</v>
      </c>
      <c r="D54" s="207">
        <v>12</v>
      </c>
      <c r="E54" s="212">
        <v>6.5000000000000002E-2</v>
      </c>
      <c r="F54" s="40">
        <v>23.94</v>
      </c>
      <c r="G54" s="40">
        <v>26.31</v>
      </c>
      <c r="H54" s="46">
        <f t="shared" si="0"/>
        <v>21.963302752293579</v>
      </c>
      <c r="I54" s="46">
        <f t="shared" si="1"/>
        <v>24.13761467889908</v>
      </c>
      <c r="J54" s="59">
        <v>20.98</v>
      </c>
      <c r="K54" s="73">
        <f t="shared" si="2"/>
        <v>17.630252100840337</v>
      </c>
      <c r="L54" s="74">
        <f t="shared" si="3"/>
        <v>16.263565891472869</v>
      </c>
    </row>
    <row r="55" spans="1:12" x14ac:dyDescent="0.25">
      <c r="A55" s="284"/>
      <c r="B55" s="208">
        <v>3905</v>
      </c>
      <c r="C55" s="204" t="s">
        <v>49</v>
      </c>
      <c r="D55" s="205">
        <v>24</v>
      </c>
      <c r="E55" s="210">
        <v>6.5000000000000002E-2</v>
      </c>
      <c r="F55" s="41">
        <v>4.83</v>
      </c>
      <c r="G55" s="41">
        <v>5.21</v>
      </c>
      <c r="H55" s="45">
        <f t="shared" ref="H55:H65" si="8">F55/1.09</f>
        <v>4.4311926605504581</v>
      </c>
      <c r="I55" s="45">
        <f t="shared" si="1"/>
        <v>4.7798165137614674</v>
      </c>
      <c r="J55" s="60">
        <v>4.33</v>
      </c>
      <c r="K55" s="47">
        <f t="shared" ref="K55:K65" si="9">J55/1.19</f>
        <v>3.6386554621848743</v>
      </c>
      <c r="L55" s="48">
        <f t="shared" ref="L55:L65" si="10">J55/1.29</f>
        <v>3.3565891472868215</v>
      </c>
    </row>
    <row r="56" spans="1:12" x14ac:dyDescent="0.25">
      <c r="A56" s="284"/>
      <c r="B56" s="208">
        <v>3907</v>
      </c>
      <c r="C56" s="221" t="s">
        <v>50</v>
      </c>
      <c r="D56" s="208">
        <v>12</v>
      </c>
      <c r="E56" s="210">
        <v>6.5000000000000002E-2</v>
      </c>
      <c r="F56" s="41">
        <v>20.059999999999999</v>
      </c>
      <c r="G56" s="41">
        <v>22.43</v>
      </c>
      <c r="H56" s="45">
        <f t="shared" si="8"/>
        <v>18.403669724770641</v>
      </c>
      <c r="I56" s="45">
        <f t="shared" si="1"/>
        <v>20.577981651376145</v>
      </c>
      <c r="J56" s="60">
        <v>17.13</v>
      </c>
      <c r="K56" s="47">
        <f t="shared" si="9"/>
        <v>14.394957983193278</v>
      </c>
      <c r="L56" s="48">
        <f t="shared" si="10"/>
        <v>13.279069767441859</v>
      </c>
    </row>
    <row r="57" spans="1:12" x14ac:dyDescent="0.25">
      <c r="A57" s="284"/>
      <c r="B57" s="208">
        <v>3952</v>
      </c>
      <c r="C57" s="204" t="s">
        <v>51</v>
      </c>
      <c r="D57" s="205">
        <v>6</v>
      </c>
      <c r="E57" s="210">
        <v>6.5000000000000002E-2</v>
      </c>
      <c r="F57" s="41">
        <v>59.11</v>
      </c>
      <c r="G57" s="41">
        <v>64.5</v>
      </c>
      <c r="H57" s="45">
        <f t="shared" si="8"/>
        <v>54.229357798165132</v>
      </c>
      <c r="I57" s="45">
        <f t="shared" si="1"/>
        <v>59.174311926605498</v>
      </c>
      <c r="J57" s="60">
        <v>52.39</v>
      </c>
      <c r="K57" s="47">
        <f t="shared" si="9"/>
        <v>44.025210084033617</v>
      </c>
      <c r="L57" s="48">
        <f t="shared" si="10"/>
        <v>40.612403100775197</v>
      </c>
    </row>
    <row r="58" spans="1:12" x14ac:dyDescent="0.25">
      <c r="A58" s="284"/>
      <c r="B58" s="208">
        <v>3953</v>
      </c>
      <c r="C58" s="204" t="s">
        <v>52</v>
      </c>
      <c r="D58" s="205">
        <v>6</v>
      </c>
      <c r="E58" s="210">
        <v>6.5000000000000002E-2</v>
      </c>
      <c r="F58" s="41">
        <v>65.099999999999994</v>
      </c>
      <c r="G58" s="41">
        <v>70.489999999999995</v>
      </c>
      <c r="H58" s="45">
        <f t="shared" si="8"/>
        <v>59.724770642201825</v>
      </c>
      <c r="I58" s="45">
        <f t="shared" si="1"/>
        <v>64.66972477064219</v>
      </c>
      <c r="J58" s="60">
        <v>58.38</v>
      </c>
      <c r="K58" s="47">
        <f t="shared" si="9"/>
        <v>49.058823529411768</v>
      </c>
      <c r="L58" s="48">
        <f t="shared" si="10"/>
        <v>45.255813953488371</v>
      </c>
    </row>
    <row r="59" spans="1:12" x14ac:dyDescent="0.25">
      <c r="A59" s="285"/>
      <c r="B59" s="216">
        <v>3954</v>
      </c>
      <c r="C59" s="214" t="s">
        <v>53</v>
      </c>
      <c r="D59" s="205">
        <v>12</v>
      </c>
      <c r="E59" s="210">
        <v>6.5000000000000002E-2</v>
      </c>
      <c r="F59" s="41">
        <v>5.58</v>
      </c>
      <c r="G59" s="41">
        <v>6.09</v>
      </c>
      <c r="H59" s="45">
        <f t="shared" si="8"/>
        <v>5.1192660550458715</v>
      </c>
      <c r="I59" s="45">
        <f t="shared" si="1"/>
        <v>5.5871559633027514</v>
      </c>
      <c r="J59" s="60">
        <v>4.91</v>
      </c>
      <c r="K59" s="47">
        <f t="shared" si="9"/>
        <v>4.1260504201680677</v>
      </c>
      <c r="L59" s="48">
        <f t="shared" si="10"/>
        <v>3.806201550387597</v>
      </c>
    </row>
    <row r="60" spans="1:12" x14ac:dyDescent="0.25">
      <c r="A60" s="285"/>
      <c r="B60" s="216">
        <v>3955</v>
      </c>
      <c r="C60" s="214" t="s">
        <v>164</v>
      </c>
      <c r="D60" s="205">
        <v>12</v>
      </c>
      <c r="E60" s="210">
        <v>6.5000000000000002E-2</v>
      </c>
      <c r="F60" s="41">
        <v>11.01</v>
      </c>
      <c r="G60" s="41">
        <v>12.05</v>
      </c>
      <c r="H60" s="45">
        <f t="shared" si="8"/>
        <v>10.100917431192659</v>
      </c>
      <c r="I60" s="45">
        <f t="shared" si="1"/>
        <v>11.055045871559633</v>
      </c>
      <c r="J60" s="60">
        <v>9.6999999999999993</v>
      </c>
      <c r="K60" s="47">
        <f t="shared" si="9"/>
        <v>8.1512605042016801</v>
      </c>
      <c r="L60" s="48">
        <f t="shared" si="10"/>
        <v>7.5193798449612395</v>
      </c>
    </row>
    <row r="61" spans="1:12" x14ac:dyDescent="0.25">
      <c r="A61" s="285"/>
      <c r="B61" s="216">
        <v>3956</v>
      </c>
      <c r="C61" s="214" t="s">
        <v>165</v>
      </c>
      <c r="D61" s="205">
        <v>12</v>
      </c>
      <c r="E61" s="210">
        <v>6.5000000000000002E-2</v>
      </c>
      <c r="F61" s="41">
        <v>11.34</v>
      </c>
      <c r="G61" s="41">
        <v>12.39</v>
      </c>
      <c r="H61" s="45">
        <f t="shared" si="8"/>
        <v>10.403669724770641</v>
      </c>
      <c r="I61" s="45">
        <f t="shared" si="1"/>
        <v>11.36697247706422</v>
      </c>
      <c r="J61" s="60">
        <v>10.039999999999999</v>
      </c>
      <c r="K61" s="47">
        <f t="shared" si="9"/>
        <v>8.4369747899159666</v>
      </c>
      <c r="L61" s="48">
        <f t="shared" si="10"/>
        <v>7.7829457364341073</v>
      </c>
    </row>
    <row r="62" spans="1:12" x14ac:dyDescent="0.25">
      <c r="A62" s="285"/>
      <c r="B62" s="208">
        <v>3957</v>
      </c>
      <c r="C62" s="204" t="s">
        <v>166</v>
      </c>
      <c r="D62" s="205">
        <v>9</v>
      </c>
      <c r="E62" s="219">
        <v>6.5000000000000002E-2</v>
      </c>
      <c r="F62" s="41">
        <v>13.9</v>
      </c>
      <c r="G62" s="41">
        <v>15.08</v>
      </c>
      <c r="H62" s="45">
        <f t="shared" si="8"/>
        <v>12.75229357798165</v>
      </c>
      <c r="I62" s="45">
        <f t="shared" si="1"/>
        <v>13.834862385321101</v>
      </c>
      <c r="J62" s="60">
        <v>12.43</v>
      </c>
      <c r="K62" s="47">
        <f t="shared" si="9"/>
        <v>10.445378151260504</v>
      </c>
      <c r="L62" s="48">
        <f t="shared" si="10"/>
        <v>9.6356589147286815</v>
      </c>
    </row>
    <row r="63" spans="1:12" x14ac:dyDescent="0.25">
      <c r="A63" s="285"/>
      <c r="B63" s="217">
        <v>3958</v>
      </c>
      <c r="C63" s="204" t="s">
        <v>201</v>
      </c>
      <c r="D63" s="224">
        <v>12</v>
      </c>
      <c r="E63" s="218">
        <v>6.5000000000000002E-2</v>
      </c>
      <c r="F63" s="41">
        <v>36.89</v>
      </c>
      <c r="G63" s="41">
        <v>40.65</v>
      </c>
      <c r="H63" s="45">
        <f t="shared" si="8"/>
        <v>33.844036697247702</v>
      </c>
      <c r="I63" s="45">
        <f t="shared" si="1"/>
        <v>37.293577981651374</v>
      </c>
      <c r="J63" s="60">
        <v>32.200000000000003</v>
      </c>
      <c r="K63" s="47">
        <f t="shared" si="9"/>
        <v>27.058823529411768</v>
      </c>
      <c r="L63" s="48">
        <f t="shared" si="10"/>
        <v>24.961240310077521</v>
      </c>
    </row>
    <row r="64" spans="1:12" x14ac:dyDescent="0.25">
      <c r="A64" s="285"/>
      <c r="B64" s="216">
        <v>3959</v>
      </c>
      <c r="C64" s="222" t="s">
        <v>202</v>
      </c>
      <c r="D64" s="213">
        <v>12</v>
      </c>
      <c r="E64" s="215">
        <v>6.5000000000000002E-2</v>
      </c>
      <c r="F64" s="41">
        <v>47.53</v>
      </c>
      <c r="G64" s="41">
        <v>51.29</v>
      </c>
      <c r="H64" s="45">
        <f t="shared" si="8"/>
        <v>43.605504587155963</v>
      </c>
      <c r="I64" s="45">
        <f t="shared" si="1"/>
        <v>47.055045871559628</v>
      </c>
      <c r="J64" s="60">
        <v>42.84</v>
      </c>
      <c r="K64" s="47">
        <f t="shared" si="9"/>
        <v>36.000000000000007</v>
      </c>
      <c r="L64" s="48">
        <f t="shared" si="10"/>
        <v>33.209302325581397</v>
      </c>
    </row>
    <row r="65" spans="1:12" ht="15.75" thickBot="1" x14ac:dyDescent="0.3">
      <c r="A65" s="286"/>
      <c r="B65" s="209">
        <v>3960</v>
      </c>
      <c r="C65" s="223" t="s">
        <v>203</v>
      </c>
      <c r="D65" s="206">
        <v>12</v>
      </c>
      <c r="E65" s="211">
        <v>6.5000000000000002E-2</v>
      </c>
      <c r="F65" s="42">
        <v>47.83</v>
      </c>
      <c r="G65" s="42">
        <v>51.58</v>
      </c>
      <c r="H65" s="128">
        <f t="shared" si="8"/>
        <v>43.880733944954123</v>
      </c>
      <c r="I65" s="128">
        <f t="shared" si="1"/>
        <v>47.321100917431188</v>
      </c>
      <c r="J65" s="109">
        <v>43.14</v>
      </c>
      <c r="K65" s="121">
        <f t="shared" si="9"/>
        <v>36.252100840336134</v>
      </c>
      <c r="L65" s="120">
        <f t="shared" si="10"/>
        <v>33.441860465116278</v>
      </c>
    </row>
    <row r="66" spans="1:12" ht="15" customHeight="1" x14ac:dyDescent="0.25">
      <c r="A66" s="287" t="s">
        <v>10</v>
      </c>
      <c r="B66" s="249">
        <v>4000</v>
      </c>
      <c r="C66" s="250" t="s">
        <v>167</v>
      </c>
      <c r="D66" s="251">
        <v>12</v>
      </c>
      <c r="E66" s="248">
        <v>6.5000000000000002E-2</v>
      </c>
      <c r="F66" s="40">
        <v>11.94</v>
      </c>
      <c r="G66" s="40">
        <v>15.38</v>
      </c>
      <c r="H66" s="46">
        <f t="shared" si="0"/>
        <v>10.954128440366972</v>
      </c>
      <c r="I66" s="46">
        <f t="shared" si="1"/>
        <v>14.110091743119266</v>
      </c>
      <c r="J66" s="59">
        <v>7.64</v>
      </c>
      <c r="K66" s="73">
        <f t="shared" si="2"/>
        <v>6.420168067226891</v>
      </c>
      <c r="L66" s="74">
        <f t="shared" si="3"/>
        <v>5.9224806201550386</v>
      </c>
    </row>
    <row r="67" spans="1:12" x14ac:dyDescent="0.25">
      <c r="A67" s="288"/>
      <c r="B67" s="249">
        <v>4001</v>
      </c>
      <c r="C67" s="250" t="s">
        <v>54</v>
      </c>
      <c r="D67" s="251">
        <v>24</v>
      </c>
      <c r="E67" s="248">
        <v>6.5000000000000002E-2</v>
      </c>
      <c r="F67" s="41">
        <v>6.55</v>
      </c>
      <c r="G67" s="41">
        <v>7.71</v>
      </c>
      <c r="H67" s="45">
        <f t="shared" si="0"/>
        <v>6.0091743119266052</v>
      </c>
      <c r="I67" s="45">
        <f t="shared" si="1"/>
        <v>7.0733944954128436</v>
      </c>
      <c r="J67" s="60">
        <v>5.0999999999999996</v>
      </c>
      <c r="K67" s="47">
        <f t="shared" si="2"/>
        <v>4.2857142857142856</v>
      </c>
      <c r="L67" s="48">
        <f t="shared" si="3"/>
        <v>3.9534883720930227</v>
      </c>
    </row>
    <row r="68" spans="1:12" x14ac:dyDescent="0.25">
      <c r="A68" s="288"/>
      <c r="B68" s="241">
        <v>4002</v>
      </c>
      <c r="C68" s="239" t="s">
        <v>55</v>
      </c>
      <c r="D68" s="243">
        <v>12</v>
      </c>
      <c r="E68" s="245">
        <v>6.5000000000000002E-2</v>
      </c>
      <c r="F68" s="41">
        <v>8.0500000000000007</v>
      </c>
      <c r="G68" s="41">
        <v>9.11</v>
      </c>
      <c r="H68" s="45">
        <f t="shared" si="0"/>
        <v>7.3853211009174311</v>
      </c>
      <c r="I68" s="45">
        <f t="shared" si="1"/>
        <v>8.3577981651376128</v>
      </c>
      <c r="J68" s="60">
        <v>6.73</v>
      </c>
      <c r="K68" s="47">
        <f t="shared" si="2"/>
        <v>5.6554621848739499</v>
      </c>
      <c r="L68" s="48">
        <f t="shared" si="3"/>
        <v>5.2170542635658919</v>
      </c>
    </row>
    <row r="69" spans="1:12" x14ac:dyDescent="0.25">
      <c r="A69" s="288"/>
      <c r="B69" s="241">
        <v>4003</v>
      </c>
      <c r="C69" s="239" t="s">
        <v>56</v>
      </c>
      <c r="D69" s="243">
        <v>12</v>
      </c>
      <c r="E69" s="245">
        <v>6.5000000000000002E-2</v>
      </c>
      <c r="F69" s="41">
        <v>12.99</v>
      </c>
      <c r="G69" s="41">
        <v>15.16</v>
      </c>
      <c r="H69" s="45">
        <f t="shared" si="0"/>
        <v>11.917431192660549</v>
      </c>
      <c r="I69" s="45">
        <f t="shared" si="1"/>
        <v>13.908256880733944</v>
      </c>
      <c r="J69" s="60">
        <v>10.28</v>
      </c>
      <c r="K69" s="47">
        <f t="shared" si="2"/>
        <v>8.6386554621848735</v>
      </c>
      <c r="L69" s="48">
        <f t="shared" si="3"/>
        <v>7.9689922480620146</v>
      </c>
    </row>
    <row r="70" spans="1:12" x14ac:dyDescent="0.25">
      <c r="A70" s="288"/>
      <c r="B70" s="241">
        <v>4013</v>
      </c>
      <c r="C70" s="239" t="s">
        <v>57</v>
      </c>
      <c r="D70" s="243">
        <v>24</v>
      </c>
      <c r="E70" s="245">
        <v>6.5000000000000002E-2</v>
      </c>
      <c r="F70" s="41">
        <v>6.21</v>
      </c>
      <c r="G70" s="41">
        <v>6.65</v>
      </c>
      <c r="H70" s="45">
        <f t="shared" si="0"/>
        <v>5.6972477064220177</v>
      </c>
      <c r="I70" s="45">
        <f t="shared" si="1"/>
        <v>6.1009174311926602</v>
      </c>
      <c r="J70" s="60">
        <v>5.66</v>
      </c>
      <c r="K70" s="47">
        <f t="shared" si="2"/>
        <v>4.7563025210084033</v>
      </c>
      <c r="L70" s="48">
        <f t="shared" si="3"/>
        <v>4.387596899224806</v>
      </c>
    </row>
    <row r="71" spans="1:12" x14ac:dyDescent="0.25">
      <c r="A71" s="288"/>
      <c r="B71" s="241">
        <v>4016</v>
      </c>
      <c r="C71" s="239" t="s">
        <v>58</v>
      </c>
      <c r="D71" s="243">
        <v>12</v>
      </c>
      <c r="E71" s="245">
        <v>6.5000000000000002E-2</v>
      </c>
      <c r="F71" s="41">
        <v>14.13</v>
      </c>
      <c r="G71" s="41">
        <v>15.21</v>
      </c>
      <c r="H71" s="45">
        <f t="shared" si="0"/>
        <v>12.963302752293577</v>
      </c>
      <c r="I71" s="45">
        <f t="shared" si="1"/>
        <v>13.954128440366972</v>
      </c>
      <c r="J71" s="60">
        <v>12.78</v>
      </c>
      <c r="K71" s="47">
        <f t="shared" si="2"/>
        <v>10.739495798319327</v>
      </c>
      <c r="L71" s="48">
        <f t="shared" si="3"/>
        <v>9.9069767441860463</v>
      </c>
    </row>
    <row r="72" spans="1:12" x14ac:dyDescent="0.25">
      <c r="A72" s="288"/>
      <c r="B72" s="241">
        <v>4017</v>
      </c>
      <c r="C72" s="239" t="s">
        <v>206</v>
      </c>
      <c r="D72" s="243">
        <v>12</v>
      </c>
      <c r="E72" s="245">
        <v>6.5000000000000002E-2</v>
      </c>
      <c r="F72" s="41">
        <v>9.49</v>
      </c>
      <c r="G72" s="41">
        <v>10.39</v>
      </c>
      <c r="H72" s="45">
        <f t="shared" ref="H72:H112" si="11">F72/1.09</f>
        <v>8.7064220183486238</v>
      </c>
      <c r="I72" s="45">
        <f t="shared" ref="I72:I112" si="12">G72/1.09</f>
        <v>9.5321100917431192</v>
      </c>
      <c r="J72" s="60">
        <v>8.34</v>
      </c>
      <c r="K72" s="47">
        <f t="shared" ref="K72:K112" si="13">J72/1.19</f>
        <v>7.0084033613445378</v>
      </c>
      <c r="L72" s="48">
        <f t="shared" ref="L72:L112" si="14">J72/1.29</f>
        <v>6.4651162790697674</v>
      </c>
    </row>
    <row r="73" spans="1:12" x14ac:dyDescent="0.25">
      <c r="A73" s="288"/>
      <c r="B73" s="241">
        <v>4019</v>
      </c>
      <c r="C73" s="239" t="s">
        <v>207</v>
      </c>
      <c r="D73" s="243">
        <v>6</v>
      </c>
      <c r="E73" s="245">
        <v>6.5000000000000002E-2</v>
      </c>
      <c r="F73" s="41">
        <v>30.84</v>
      </c>
      <c r="G73" s="41">
        <v>33.04</v>
      </c>
      <c r="H73" s="45">
        <f t="shared" si="11"/>
        <v>28.293577981651374</v>
      </c>
      <c r="I73" s="45">
        <f t="shared" si="12"/>
        <v>30.311926605504585</v>
      </c>
      <c r="J73" s="60">
        <v>28.09</v>
      </c>
      <c r="K73" s="47">
        <f t="shared" si="13"/>
        <v>23.605042016806724</v>
      </c>
      <c r="L73" s="48">
        <f t="shared" si="14"/>
        <v>21.77519379844961</v>
      </c>
    </row>
    <row r="74" spans="1:12" x14ac:dyDescent="0.25">
      <c r="A74" s="288"/>
      <c r="B74" s="241">
        <v>4020</v>
      </c>
      <c r="C74" s="239" t="s">
        <v>61</v>
      </c>
      <c r="D74" s="243">
        <v>24</v>
      </c>
      <c r="E74" s="245">
        <v>6.5000000000000002E-2</v>
      </c>
      <c r="F74" s="41">
        <v>3.05</v>
      </c>
      <c r="G74" s="41">
        <v>3.36</v>
      </c>
      <c r="H74" s="45">
        <f t="shared" si="11"/>
        <v>2.7981651376146783</v>
      </c>
      <c r="I74" s="45">
        <f t="shared" si="12"/>
        <v>3.0825688073394493</v>
      </c>
      <c r="J74" s="60">
        <v>2.66</v>
      </c>
      <c r="K74" s="47">
        <f t="shared" si="13"/>
        <v>2.2352941176470589</v>
      </c>
      <c r="L74" s="48">
        <f t="shared" si="14"/>
        <v>2.0620155038759691</v>
      </c>
    </row>
    <row r="75" spans="1:12" x14ac:dyDescent="0.25">
      <c r="A75" s="288"/>
      <c r="B75" s="241">
        <v>4029</v>
      </c>
      <c r="C75" s="239" t="s">
        <v>62</v>
      </c>
      <c r="D75" s="243">
        <v>12</v>
      </c>
      <c r="E75" s="245">
        <v>6.5000000000000002E-2</v>
      </c>
      <c r="F75" s="41">
        <v>11.78</v>
      </c>
      <c r="G75" s="41">
        <v>12.48</v>
      </c>
      <c r="H75" s="45">
        <f t="shared" si="11"/>
        <v>10.807339449541283</v>
      </c>
      <c r="I75" s="45">
        <f t="shared" si="12"/>
        <v>11.449541284403669</v>
      </c>
      <c r="J75" s="60">
        <v>10.9</v>
      </c>
      <c r="K75" s="47">
        <f t="shared" si="13"/>
        <v>9.1596638655462197</v>
      </c>
      <c r="L75" s="48">
        <f t="shared" si="14"/>
        <v>8.449612403100776</v>
      </c>
    </row>
    <row r="76" spans="1:12" x14ac:dyDescent="0.25">
      <c r="A76" s="288"/>
      <c r="B76" s="241">
        <v>4030</v>
      </c>
      <c r="C76" s="239" t="s">
        <v>63</v>
      </c>
      <c r="D76" s="243">
        <v>9</v>
      </c>
      <c r="E76" s="245">
        <v>6.5000000000000002E-2</v>
      </c>
      <c r="F76" s="41">
        <v>41.04</v>
      </c>
      <c r="G76" s="41">
        <v>45.94</v>
      </c>
      <c r="H76" s="45">
        <f t="shared" si="11"/>
        <v>37.651376146788991</v>
      </c>
      <c r="I76" s="45">
        <f t="shared" si="12"/>
        <v>42.146788990825684</v>
      </c>
      <c r="J76" s="60">
        <v>34.9</v>
      </c>
      <c r="K76" s="47">
        <f t="shared" si="13"/>
        <v>29.327731092436974</v>
      </c>
      <c r="L76" s="48">
        <f t="shared" si="14"/>
        <v>27.054263565891471</v>
      </c>
    </row>
    <row r="77" spans="1:12" x14ac:dyDescent="0.25">
      <c r="A77" s="288"/>
      <c r="B77" s="241">
        <v>4033</v>
      </c>
      <c r="C77" s="239" t="s">
        <v>64</v>
      </c>
      <c r="D77" s="243">
        <v>12</v>
      </c>
      <c r="E77" s="245">
        <v>6.5000000000000002E-2</v>
      </c>
      <c r="F77" s="41">
        <v>24.1</v>
      </c>
      <c r="G77" s="41">
        <v>28.15</v>
      </c>
      <c r="H77" s="45">
        <f t="shared" si="11"/>
        <v>22.110091743119266</v>
      </c>
      <c r="I77" s="45">
        <f t="shared" si="12"/>
        <v>25.825688073394492</v>
      </c>
      <c r="J77" s="60">
        <v>19.04</v>
      </c>
      <c r="K77" s="47">
        <f t="shared" si="13"/>
        <v>16</v>
      </c>
      <c r="L77" s="48">
        <f t="shared" si="14"/>
        <v>14.75968992248062</v>
      </c>
    </row>
    <row r="78" spans="1:12" x14ac:dyDescent="0.25">
      <c r="A78" s="288"/>
      <c r="B78" s="241">
        <v>4035</v>
      </c>
      <c r="C78" s="239" t="s">
        <v>65</v>
      </c>
      <c r="D78" s="243">
        <v>9</v>
      </c>
      <c r="E78" s="245">
        <v>6.5000000000000002E-2</v>
      </c>
      <c r="F78" s="41">
        <v>50.43</v>
      </c>
      <c r="G78" s="41">
        <v>55.53</v>
      </c>
      <c r="H78" s="45">
        <f t="shared" si="11"/>
        <v>46.266055045871553</v>
      </c>
      <c r="I78" s="45">
        <f t="shared" si="12"/>
        <v>50.944954128440365</v>
      </c>
      <c r="J78" s="60">
        <v>44.05</v>
      </c>
      <c r="K78" s="47">
        <f t="shared" si="13"/>
        <v>37.016806722689076</v>
      </c>
      <c r="L78" s="48">
        <f t="shared" si="14"/>
        <v>34.147286821705421</v>
      </c>
    </row>
    <row r="79" spans="1:12" x14ac:dyDescent="0.25">
      <c r="A79" s="288"/>
      <c r="B79" s="241">
        <v>4037</v>
      </c>
      <c r="C79" s="239" t="s">
        <v>66</v>
      </c>
      <c r="D79" s="243">
        <v>12</v>
      </c>
      <c r="E79" s="245">
        <v>6.5000000000000002E-2</v>
      </c>
      <c r="F79" s="41">
        <v>19.190000000000001</v>
      </c>
      <c r="G79" s="41">
        <v>21.46</v>
      </c>
      <c r="H79" s="45">
        <f t="shared" si="11"/>
        <v>17.605504587155963</v>
      </c>
      <c r="I79" s="45">
        <f t="shared" si="12"/>
        <v>19.688073394495412</v>
      </c>
      <c r="J79" s="60">
        <v>16.34</v>
      </c>
      <c r="K79" s="47">
        <f t="shared" si="13"/>
        <v>13.731092436974791</v>
      </c>
      <c r="L79" s="48">
        <f t="shared" si="14"/>
        <v>12.666666666666666</v>
      </c>
    </row>
    <row r="80" spans="1:12" x14ac:dyDescent="0.25">
      <c r="A80" s="288"/>
      <c r="B80" s="241">
        <v>4038</v>
      </c>
      <c r="C80" s="239" t="s">
        <v>67</v>
      </c>
      <c r="D80" s="243">
        <v>12</v>
      </c>
      <c r="E80" s="245">
        <v>6.5000000000000002E-2</v>
      </c>
      <c r="F80" s="41">
        <v>23.54</v>
      </c>
      <c r="G80" s="41">
        <v>25.81</v>
      </c>
      <c r="H80" s="45">
        <f t="shared" si="11"/>
        <v>21.596330275229356</v>
      </c>
      <c r="I80" s="45">
        <f t="shared" si="12"/>
        <v>23.678899082568805</v>
      </c>
      <c r="J80" s="60">
        <v>20.69</v>
      </c>
      <c r="K80" s="47">
        <f t="shared" si="13"/>
        <v>17.386554621848742</v>
      </c>
      <c r="L80" s="48">
        <f t="shared" si="14"/>
        <v>16.038759689922482</v>
      </c>
    </row>
    <row r="81" spans="1:12" x14ac:dyDescent="0.25">
      <c r="A81" s="288"/>
      <c r="B81" s="241">
        <v>4039</v>
      </c>
      <c r="C81" s="239" t="s">
        <v>68</v>
      </c>
      <c r="D81" s="243">
        <v>12</v>
      </c>
      <c r="E81" s="245">
        <v>6.5000000000000002E-2</v>
      </c>
      <c r="F81" s="41">
        <v>25.86</v>
      </c>
      <c r="G81" s="41">
        <v>30.6</v>
      </c>
      <c r="H81" s="45">
        <f t="shared" si="11"/>
        <v>23.724770642201833</v>
      </c>
      <c r="I81" s="45">
        <f t="shared" si="12"/>
        <v>28.073394495412842</v>
      </c>
      <c r="J81" s="60">
        <v>19.93</v>
      </c>
      <c r="K81" s="47">
        <f t="shared" si="13"/>
        <v>16.747899159663866</v>
      </c>
      <c r="L81" s="48">
        <f t="shared" si="14"/>
        <v>15.449612403100774</v>
      </c>
    </row>
    <row r="82" spans="1:12" x14ac:dyDescent="0.25">
      <c r="A82" s="288"/>
      <c r="B82" s="241">
        <v>4042</v>
      </c>
      <c r="C82" s="239" t="s">
        <v>69</v>
      </c>
      <c r="D82" s="243">
        <v>6</v>
      </c>
      <c r="E82" s="245">
        <v>6.5000000000000002E-2</v>
      </c>
      <c r="F82" s="41">
        <v>32.76</v>
      </c>
      <c r="G82" s="41">
        <v>37.1</v>
      </c>
      <c r="H82" s="45">
        <f t="shared" si="11"/>
        <v>30.055045871559628</v>
      </c>
      <c r="I82" s="45">
        <f t="shared" si="12"/>
        <v>34.036697247706421</v>
      </c>
      <c r="J82" s="60">
        <v>27.35</v>
      </c>
      <c r="K82" s="47">
        <f t="shared" si="13"/>
        <v>22.983193277310928</v>
      </c>
      <c r="L82" s="48">
        <f t="shared" si="14"/>
        <v>21.2015503875969</v>
      </c>
    </row>
    <row r="83" spans="1:12" x14ac:dyDescent="0.25">
      <c r="A83" s="288"/>
      <c r="B83" s="241">
        <v>4043</v>
      </c>
      <c r="C83" s="239" t="s">
        <v>70</v>
      </c>
      <c r="D83" s="243">
        <v>6</v>
      </c>
      <c r="E83" s="245">
        <v>6.5000000000000002E-2</v>
      </c>
      <c r="F83" s="41">
        <v>36.090000000000003</v>
      </c>
      <c r="G83" s="41">
        <v>40.409999999999997</v>
      </c>
      <c r="H83" s="45">
        <f t="shared" si="11"/>
        <v>33.11009174311927</v>
      </c>
      <c r="I83" s="45">
        <f t="shared" si="12"/>
        <v>37.073394495412835</v>
      </c>
      <c r="J83" s="60">
        <v>30.68</v>
      </c>
      <c r="K83" s="47">
        <f t="shared" si="13"/>
        <v>25.781512605042018</v>
      </c>
      <c r="L83" s="48">
        <f t="shared" si="14"/>
        <v>23.782945736434108</v>
      </c>
    </row>
    <row r="84" spans="1:12" x14ac:dyDescent="0.25">
      <c r="A84" s="288"/>
      <c r="B84" s="241">
        <v>4044</v>
      </c>
      <c r="C84" s="239" t="s">
        <v>71</v>
      </c>
      <c r="D84" s="243">
        <v>6</v>
      </c>
      <c r="E84" s="245">
        <v>6.5000000000000002E-2</v>
      </c>
      <c r="F84" s="41">
        <v>36.28</v>
      </c>
      <c r="G84" s="41">
        <v>40.79</v>
      </c>
      <c r="H84" s="45">
        <f t="shared" si="11"/>
        <v>33.284403669724767</v>
      </c>
      <c r="I84" s="45">
        <f t="shared" si="12"/>
        <v>37.422018348623851</v>
      </c>
      <c r="J84" s="60">
        <v>30.65</v>
      </c>
      <c r="K84" s="47">
        <f t="shared" si="13"/>
        <v>25.756302521008404</v>
      </c>
      <c r="L84" s="48">
        <f t="shared" si="14"/>
        <v>23.759689922480618</v>
      </c>
    </row>
    <row r="85" spans="1:12" x14ac:dyDescent="0.25">
      <c r="A85" s="288"/>
      <c r="B85" s="241">
        <v>4045</v>
      </c>
      <c r="C85" s="239" t="s">
        <v>72</v>
      </c>
      <c r="D85" s="243">
        <v>6</v>
      </c>
      <c r="E85" s="245">
        <v>6.5000000000000002E-2</v>
      </c>
      <c r="F85" s="41">
        <v>39.729999999999997</v>
      </c>
      <c r="G85" s="41">
        <v>44.24</v>
      </c>
      <c r="H85" s="45">
        <f t="shared" si="11"/>
        <v>36.449541284403665</v>
      </c>
      <c r="I85" s="45">
        <f t="shared" si="12"/>
        <v>40.587155963302749</v>
      </c>
      <c r="J85" s="60">
        <v>34.1</v>
      </c>
      <c r="K85" s="47">
        <f t="shared" si="13"/>
        <v>28.655462184873951</v>
      </c>
      <c r="L85" s="48">
        <f t="shared" si="14"/>
        <v>26.434108527131784</v>
      </c>
    </row>
    <row r="86" spans="1:12" x14ac:dyDescent="0.25">
      <c r="A86" s="288"/>
      <c r="B86" s="241">
        <v>4046</v>
      </c>
      <c r="C86" s="239" t="s">
        <v>73</v>
      </c>
      <c r="D86" s="243">
        <v>12</v>
      </c>
      <c r="E86" s="245">
        <v>6.5000000000000002E-2</v>
      </c>
      <c r="F86" s="41">
        <v>3.84</v>
      </c>
      <c r="G86" s="41">
        <v>4.29</v>
      </c>
      <c r="H86" s="45">
        <f t="shared" si="11"/>
        <v>3.5229357798165135</v>
      </c>
      <c r="I86" s="45">
        <f t="shared" si="12"/>
        <v>3.9357798165137612</v>
      </c>
      <c r="J86" s="60">
        <v>3.26</v>
      </c>
      <c r="K86" s="47">
        <f t="shared" si="13"/>
        <v>2.7394957983193278</v>
      </c>
      <c r="L86" s="48">
        <f t="shared" si="14"/>
        <v>2.527131782945736</v>
      </c>
    </row>
    <row r="87" spans="1:12" x14ac:dyDescent="0.25">
      <c r="A87" s="288"/>
      <c r="B87" s="241">
        <v>4047</v>
      </c>
      <c r="C87" s="239" t="s">
        <v>74</v>
      </c>
      <c r="D87" s="243">
        <v>12</v>
      </c>
      <c r="E87" s="245">
        <v>6.5000000000000002E-2</v>
      </c>
      <c r="F87" s="41">
        <v>18.63</v>
      </c>
      <c r="G87" s="41">
        <v>21.88</v>
      </c>
      <c r="H87" s="45">
        <f t="shared" si="11"/>
        <v>17.091743119266052</v>
      </c>
      <c r="I87" s="45">
        <f t="shared" si="12"/>
        <v>20.073394495412842</v>
      </c>
      <c r="J87" s="60">
        <v>14.56</v>
      </c>
      <c r="K87" s="47">
        <f t="shared" si="13"/>
        <v>12.23529411764706</v>
      </c>
      <c r="L87" s="48">
        <f t="shared" si="14"/>
        <v>11.286821705426357</v>
      </c>
    </row>
    <row r="88" spans="1:12" x14ac:dyDescent="0.25">
      <c r="A88" s="288"/>
      <c r="B88" s="241">
        <v>4048</v>
      </c>
      <c r="C88" s="239" t="s">
        <v>75</v>
      </c>
      <c r="D88" s="243">
        <v>12</v>
      </c>
      <c r="E88" s="245">
        <v>6.5000000000000002E-2</v>
      </c>
      <c r="F88" s="41">
        <v>25.96</v>
      </c>
      <c r="G88" s="41">
        <v>29.21</v>
      </c>
      <c r="H88" s="45">
        <f t="shared" si="11"/>
        <v>23.816513761467888</v>
      </c>
      <c r="I88" s="45">
        <f t="shared" si="12"/>
        <v>26.798165137614678</v>
      </c>
      <c r="J88" s="60">
        <v>21.9</v>
      </c>
      <c r="K88" s="47">
        <f t="shared" si="13"/>
        <v>18.403361344537814</v>
      </c>
      <c r="L88" s="48">
        <f t="shared" si="14"/>
        <v>16.97674418604651</v>
      </c>
    </row>
    <row r="89" spans="1:12" x14ac:dyDescent="0.25">
      <c r="A89" s="288"/>
      <c r="B89" s="241">
        <v>4049</v>
      </c>
      <c r="C89" s="239" t="s">
        <v>76</v>
      </c>
      <c r="D89" s="243">
        <v>12</v>
      </c>
      <c r="E89" s="245">
        <v>6.5000000000000002E-2</v>
      </c>
      <c r="F89" s="41">
        <v>20.85</v>
      </c>
      <c r="G89" s="41">
        <v>24.23</v>
      </c>
      <c r="H89" s="45">
        <f t="shared" si="11"/>
        <v>19.128440366972477</v>
      </c>
      <c r="I89" s="45">
        <f t="shared" si="12"/>
        <v>22.229357798165136</v>
      </c>
      <c r="J89" s="60">
        <v>16.63</v>
      </c>
      <c r="K89" s="47">
        <f t="shared" si="13"/>
        <v>13.974789915966387</v>
      </c>
      <c r="L89" s="48">
        <f t="shared" si="14"/>
        <v>12.891472868217052</v>
      </c>
    </row>
    <row r="90" spans="1:12" x14ac:dyDescent="0.25">
      <c r="A90" s="288"/>
      <c r="B90" s="241">
        <v>4050</v>
      </c>
      <c r="C90" s="239" t="s">
        <v>77</v>
      </c>
      <c r="D90" s="243">
        <v>12</v>
      </c>
      <c r="E90" s="245">
        <v>6.5000000000000002E-2</v>
      </c>
      <c r="F90" s="41">
        <v>28.11</v>
      </c>
      <c r="G90" s="41">
        <v>31.49</v>
      </c>
      <c r="H90" s="45">
        <f t="shared" si="11"/>
        <v>25.788990825688071</v>
      </c>
      <c r="I90" s="45">
        <f t="shared" si="12"/>
        <v>28.88990825688073</v>
      </c>
      <c r="J90" s="60">
        <v>23.89</v>
      </c>
      <c r="K90" s="47">
        <f t="shared" si="13"/>
        <v>20.07563025210084</v>
      </c>
      <c r="L90" s="48">
        <f t="shared" si="14"/>
        <v>18.519379844961239</v>
      </c>
    </row>
    <row r="91" spans="1:12" x14ac:dyDescent="0.25">
      <c r="A91" s="288"/>
      <c r="B91" s="241">
        <v>4051</v>
      </c>
      <c r="C91" s="239" t="s">
        <v>78</v>
      </c>
      <c r="D91" s="243">
        <v>12</v>
      </c>
      <c r="E91" s="245">
        <v>6.5000000000000002E-2</v>
      </c>
      <c r="F91" s="41">
        <v>22.78</v>
      </c>
      <c r="G91" s="41">
        <v>26.03</v>
      </c>
      <c r="H91" s="45">
        <f t="shared" si="11"/>
        <v>20.899082568807341</v>
      </c>
      <c r="I91" s="45">
        <f t="shared" si="12"/>
        <v>23.880733944954127</v>
      </c>
      <c r="J91" s="60">
        <v>18.71</v>
      </c>
      <c r="K91" s="47">
        <f t="shared" si="13"/>
        <v>15.722689075630253</v>
      </c>
      <c r="L91" s="48">
        <f t="shared" si="14"/>
        <v>14.503875968992249</v>
      </c>
    </row>
    <row r="92" spans="1:12" x14ac:dyDescent="0.25">
      <c r="A92" s="288"/>
      <c r="B92" s="241">
        <v>4052</v>
      </c>
      <c r="C92" s="239" t="s">
        <v>79</v>
      </c>
      <c r="D92" s="243">
        <v>12</v>
      </c>
      <c r="E92" s="245">
        <v>6.5000000000000002E-2</v>
      </c>
      <c r="F92" s="41">
        <v>25.55</v>
      </c>
      <c r="G92" s="41">
        <v>28.93</v>
      </c>
      <c r="H92" s="45">
        <f t="shared" si="11"/>
        <v>23.440366972477062</v>
      </c>
      <c r="I92" s="45">
        <f t="shared" si="12"/>
        <v>26.541284403669721</v>
      </c>
      <c r="J92" s="60">
        <v>21.33</v>
      </c>
      <c r="K92" s="47">
        <f t="shared" si="13"/>
        <v>17.92436974789916</v>
      </c>
      <c r="L92" s="48">
        <f t="shared" si="14"/>
        <v>16.534883720930232</v>
      </c>
    </row>
    <row r="93" spans="1:12" x14ac:dyDescent="0.25">
      <c r="A93" s="288"/>
      <c r="B93" s="241">
        <v>4054</v>
      </c>
      <c r="C93" s="239" t="s">
        <v>80</v>
      </c>
      <c r="D93" s="243">
        <v>12</v>
      </c>
      <c r="E93" s="245">
        <v>6.5000000000000002E-2</v>
      </c>
      <c r="F93" s="41">
        <v>19.39</v>
      </c>
      <c r="G93" s="41">
        <v>23.75</v>
      </c>
      <c r="H93" s="45">
        <f t="shared" si="11"/>
        <v>17.788990825688071</v>
      </c>
      <c r="I93" s="45">
        <f t="shared" si="12"/>
        <v>21.788990825688071</v>
      </c>
      <c r="J93" s="60">
        <v>13.94</v>
      </c>
      <c r="K93" s="47">
        <f t="shared" si="13"/>
        <v>11.714285714285714</v>
      </c>
      <c r="L93" s="48">
        <f t="shared" si="14"/>
        <v>10.806201550387597</v>
      </c>
    </row>
    <row r="94" spans="1:12" x14ac:dyDescent="0.25">
      <c r="A94" s="288"/>
      <c r="B94" s="241">
        <v>4055</v>
      </c>
      <c r="C94" s="239" t="s">
        <v>81</v>
      </c>
      <c r="D94" s="243">
        <v>12</v>
      </c>
      <c r="E94" s="245">
        <v>6.5000000000000002E-2</v>
      </c>
      <c r="F94" s="41">
        <v>28.44</v>
      </c>
      <c r="G94" s="41">
        <v>31.73</v>
      </c>
      <c r="H94" s="45">
        <f t="shared" si="11"/>
        <v>26.091743119266056</v>
      </c>
      <c r="I94" s="45">
        <f t="shared" si="12"/>
        <v>29.110091743119263</v>
      </c>
      <c r="J94" s="60">
        <v>22.78</v>
      </c>
      <c r="K94" s="47">
        <f t="shared" si="13"/>
        <v>19.142857142857146</v>
      </c>
      <c r="L94" s="48">
        <f t="shared" si="14"/>
        <v>17.65891472868217</v>
      </c>
    </row>
    <row r="95" spans="1:12" x14ac:dyDescent="0.25">
      <c r="A95" s="288"/>
      <c r="B95" s="241">
        <v>4056</v>
      </c>
      <c r="C95" s="239" t="s">
        <v>82</v>
      </c>
      <c r="D95" s="243">
        <v>24</v>
      </c>
      <c r="E95" s="247">
        <v>3.2500000000000001E-2</v>
      </c>
      <c r="F95" s="41">
        <v>7.4</v>
      </c>
      <c r="G95" s="41">
        <v>8.31</v>
      </c>
      <c r="H95" s="45">
        <f t="shared" si="11"/>
        <v>6.7889908256880735</v>
      </c>
      <c r="I95" s="45">
        <f t="shared" si="12"/>
        <v>7.6238532110091741</v>
      </c>
      <c r="J95" s="60">
        <v>6.28</v>
      </c>
      <c r="K95" s="47">
        <f t="shared" si="13"/>
        <v>5.2773109243697487</v>
      </c>
      <c r="L95" s="48">
        <f t="shared" si="14"/>
        <v>4.8682170542635657</v>
      </c>
    </row>
    <row r="96" spans="1:12" x14ac:dyDescent="0.25">
      <c r="A96" s="288"/>
      <c r="B96" s="241">
        <v>4057</v>
      </c>
      <c r="C96" s="239" t="s">
        <v>83</v>
      </c>
      <c r="D96" s="243">
        <v>12</v>
      </c>
      <c r="E96" s="245">
        <v>6.5000000000000002E-2</v>
      </c>
      <c r="F96" s="41">
        <v>20.99</v>
      </c>
      <c r="G96" s="41">
        <v>22.61</v>
      </c>
      <c r="H96" s="45">
        <f t="shared" si="11"/>
        <v>19.25688073394495</v>
      </c>
      <c r="I96" s="45">
        <f t="shared" si="12"/>
        <v>20.743119266055043</v>
      </c>
      <c r="J96" s="60">
        <v>18.96</v>
      </c>
      <c r="K96" s="47">
        <f t="shared" si="13"/>
        <v>15.932773109243699</v>
      </c>
      <c r="L96" s="48">
        <f t="shared" si="14"/>
        <v>14.697674418604651</v>
      </c>
    </row>
    <row r="97" spans="1:12" x14ac:dyDescent="0.25">
      <c r="A97" s="288"/>
      <c r="B97" s="241">
        <v>4058</v>
      </c>
      <c r="C97" s="239" t="s">
        <v>106</v>
      </c>
      <c r="D97" s="243">
        <v>12</v>
      </c>
      <c r="E97" s="245">
        <v>6.5000000000000002E-2</v>
      </c>
      <c r="F97" s="41">
        <v>18.36</v>
      </c>
      <c r="G97" s="41">
        <v>19.989999999999998</v>
      </c>
      <c r="H97" s="45">
        <f t="shared" si="11"/>
        <v>16.844036697247706</v>
      </c>
      <c r="I97" s="45">
        <f t="shared" si="12"/>
        <v>18.339449541284402</v>
      </c>
      <c r="J97" s="60">
        <v>16.329999999999998</v>
      </c>
      <c r="K97" s="47">
        <f t="shared" si="13"/>
        <v>13.722689075630251</v>
      </c>
      <c r="L97" s="48">
        <f t="shared" si="14"/>
        <v>12.658914728682168</v>
      </c>
    </row>
    <row r="98" spans="1:12" x14ac:dyDescent="0.25">
      <c r="A98" s="288"/>
      <c r="B98" s="241">
        <v>4059</v>
      </c>
      <c r="C98" s="239" t="s">
        <v>94</v>
      </c>
      <c r="D98" s="243">
        <v>24</v>
      </c>
      <c r="E98" s="247">
        <v>3.2500000000000001E-2</v>
      </c>
      <c r="F98" s="41">
        <v>6.84</v>
      </c>
      <c r="G98" s="41">
        <v>7.75</v>
      </c>
      <c r="H98" s="45">
        <f t="shared" si="11"/>
        <v>6.2752293577981648</v>
      </c>
      <c r="I98" s="45">
        <f t="shared" si="12"/>
        <v>7.1100917431192654</v>
      </c>
      <c r="J98" s="60">
        <v>5.71</v>
      </c>
      <c r="K98" s="47">
        <f t="shared" si="13"/>
        <v>4.7983193277310923</v>
      </c>
      <c r="L98" s="48">
        <f t="shared" si="14"/>
        <v>4.4263565891472867</v>
      </c>
    </row>
    <row r="99" spans="1:12" x14ac:dyDescent="0.25">
      <c r="A99" s="288"/>
      <c r="B99" s="241">
        <v>4060</v>
      </c>
      <c r="C99" s="239" t="s">
        <v>107</v>
      </c>
      <c r="D99" s="243">
        <v>24</v>
      </c>
      <c r="E99" s="247">
        <v>3.2500000000000001E-2</v>
      </c>
      <c r="F99" s="41">
        <v>7.54</v>
      </c>
      <c r="G99" s="41">
        <v>8.4600000000000009</v>
      </c>
      <c r="H99" s="45">
        <f t="shared" si="11"/>
        <v>6.9174311926605503</v>
      </c>
      <c r="I99" s="45">
        <f t="shared" si="12"/>
        <v>7.761467889908257</v>
      </c>
      <c r="J99" s="60">
        <v>6.36</v>
      </c>
      <c r="K99" s="47">
        <f t="shared" si="13"/>
        <v>5.344537815126051</v>
      </c>
      <c r="L99" s="48">
        <f t="shared" si="14"/>
        <v>4.9302325581395348</v>
      </c>
    </row>
    <row r="100" spans="1:12" x14ac:dyDescent="0.25">
      <c r="A100" s="288"/>
      <c r="B100" s="241">
        <v>4061</v>
      </c>
      <c r="C100" s="239" t="s">
        <v>108</v>
      </c>
      <c r="D100" s="243">
        <v>12</v>
      </c>
      <c r="E100" s="247">
        <v>3.2500000000000001E-2</v>
      </c>
      <c r="F100" s="41">
        <v>11.23</v>
      </c>
      <c r="G100" s="41">
        <v>12.28</v>
      </c>
      <c r="H100" s="45">
        <f t="shared" si="11"/>
        <v>10.302752293577981</v>
      </c>
      <c r="I100" s="45">
        <f t="shared" si="12"/>
        <v>11.266055045871559</v>
      </c>
      <c r="J100" s="60">
        <v>9.93</v>
      </c>
      <c r="K100" s="47">
        <f t="shared" si="13"/>
        <v>8.344537815126051</v>
      </c>
      <c r="L100" s="48">
        <f t="shared" si="14"/>
        <v>7.6976744186046506</v>
      </c>
    </row>
    <row r="101" spans="1:12" x14ac:dyDescent="0.25">
      <c r="A101" s="288"/>
      <c r="B101" s="241">
        <v>4063</v>
      </c>
      <c r="C101" s="239" t="s">
        <v>109</v>
      </c>
      <c r="D101" s="243">
        <v>12</v>
      </c>
      <c r="E101" s="245">
        <v>6.5000000000000002E-2</v>
      </c>
      <c r="F101" s="41">
        <v>12.13</v>
      </c>
      <c r="G101" s="41">
        <v>12.65</v>
      </c>
      <c r="H101" s="45">
        <f t="shared" si="11"/>
        <v>11.128440366972477</v>
      </c>
      <c r="I101" s="45">
        <f t="shared" si="12"/>
        <v>11.605504587155963</v>
      </c>
      <c r="J101" s="60">
        <v>11.48</v>
      </c>
      <c r="K101" s="47">
        <f t="shared" si="13"/>
        <v>9.647058823529413</v>
      </c>
      <c r="L101" s="48">
        <f t="shared" si="14"/>
        <v>8.8992248062015502</v>
      </c>
    </row>
    <row r="102" spans="1:12" x14ac:dyDescent="0.25">
      <c r="A102" s="288"/>
      <c r="B102" s="241">
        <v>4065</v>
      </c>
      <c r="C102" s="239" t="s">
        <v>208</v>
      </c>
      <c r="D102" s="243">
        <v>12</v>
      </c>
      <c r="E102" s="245">
        <v>6.5000000000000002E-2</v>
      </c>
      <c r="F102" s="41">
        <v>24.13</v>
      </c>
      <c r="G102" s="41">
        <v>28.75</v>
      </c>
      <c r="H102" s="45">
        <f t="shared" si="11"/>
        <v>22.13761467889908</v>
      </c>
      <c r="I102" s="45">
        <f t="shared" si="12"/>
        <v>26.376146788990823</v>
      </c>
      <c r="J102" s="60">
        <v>18.34</v>
      </c>
      <c r="K102" s="47">
        <f t="shared" si="13"/>
        <v>15.411764705882353</v>
      </c>
      <c r="L102" s="48">
        <f t="shared" si="14"/>
        <v>14.217054263565892</v>
      </c>
    </row>
    <row r="103" spans="1:12" x14ac:dyDescent="0.25">
      <c r="A103" s="288"/>
      <c r="B103" s="241">
        <v>4066</v>
      </c>
      <c r="C103" s="239" t="s">
        <v>209</v>
      </c>
      <c r="D103" s="243">
        <v>12</v>
      </c>
      <c r="E103" s="245">
        <v>6.5000000000000002E-2</v>
      </c>
      <c r="F103" s="41">
        <v>28.76</v>
      </c>
      <c r="G103" s="41">
        <v>33.39</v>
      </c>
      <c r="H103" s="45">
        <f t="shared" si="11"/>
        <v>26.38532110091743</v>
      </c>
      <c r="I103" s="45">
        <f t="shared" si="12"/>
        <v>30.633027522935777</v>
      </c>
      <c r="J103" s="60">
        <v>22.98</v>
      </c>
      <c r="K103" s="47">
        <f t="shared" si="13"/>
        <v>19.310924369747902</v>
      </c>
      <c r="L103" s="48">
        <f t="shared" si="14"/>
        <v>17.813953488372093</v>
      </c>
    </row>
    <row r="104" spans="1:12" x14ac:dyDescent="0.25">
      <c r="A104" s="288"/>
      <c r="B104" s="241">
        <v>4067</v>
      </c>
      <c r="C104" s="239" t="s">
        <v>210</v>
      </c>
      <c r="D104" s="243">
        <v>12</v>
      </c>
      <c r="E104" s="245">
        <v>6.5000000000000002E-2</v>
      </c>
      <c r="F104" s="41">
        <v>31.8</v>
      </c>
      <c r="G104" s="41">
        <v>36.43</v>
      </c>
      <c r="H104" s="45">
        <f t="shared" si="11"/>
        <v>29.174311926605505</v>
      </c>
      <c r="I104" s="45">
        <f t="shared" si="12"/>
        <v>33.422018348623851</v>
      </c>
      <c r="J104" s="60">
        <v>26.01</v>
      </c>
      <c r="K104" s="47">
        <f t="shared" si="13"/>
        <v>21.857142857142861</v>
      </c>
      <c r="L104" s="48">
        <f t="shared" si="14"/>
        <v>20.162790697674421</v>
      </c>
    </row>
    <row r="105" spans="1:12" x14ac:dyDescent="0.25">
      <c r="A105" s="288"/>
      <c r="B105" s="241">
        <v>4068</v>
      </c>
      <c r="C105" s="239" t="s">
        <v>211</v>
      </c>
      <c r="D105" s="243">
        <v>12</v>
      </c>
      <c r="E105" s="245">
        <v>6.5000000000000002E-2</v>
      </c>
      <c r="F105" s="41">
        <v>25.15</v>
      </c>
      <c r="G105" s="41">
        <v>27.56</v>
      </c>
      <c r="H105" s="45">
        <f t="shared" si="11"/>
        <v>23.073394495412842</v>
      </c>
      <c r="I105" s="45">
        <f t="shared" si="12"/>
        <v>25.284403669724767</v>
      </c>
      <c r="J105" s="60">
        <v>22.13</v>
      </c>
      <c r="K105" s="47">
        <f t="shared" si="13"/>
        <v>18.596638655462186</v>
      </c>
      <c r="L105" s="48">
        <f t="shared" si="14"/>
        <v>17.155038759689923</v>
      </c>
    </row>
    <row r="106" spans="1:12" x14ac:dyDescent="0.25">
      <c r="A106" s="288"/>
      <c r="B106" s="241">
        <v>4069</v>
      </c>
      <c r="C106" s="239" t="s">
        <v>212</v>
      </c>
      <c r="D106" s="243">
        <v>12</v>
      </c>
      <c r="E106" s="245">
        <v>6.5000000000000002E-2</v>
      </c>
      <c r="F106" s="41">
        <v>28.14</v>
      </c>
      <c r="G106" s="41">
        <v>30.55</v>
      </c>
      <c r="H106" s="45">
        <f t="shared" si="11"/>
        <v>25.816513761467888</v>
      </c>
      <c r="I106" s="45">
        <f t="shared" si="12"/>
        <v>28.027522935779814</v>
      </c>
      <c r="J106" s="60">
        <v>25.13</v>
      </c>
      <c r="K106" s="47">
        <f t="shared" si="13"/>
        <v>21.117647058823529</v>
      </c>
      <c r="L106" s="48">
        <f t="shared" si="14"/>
        <v>19.480620155038757</v>
      </c>
    </row>
    <row r="107" spans="1:12" x14ac:dyDescent="0.25">
      <c r="A107" s="288"/>
      <c r="B107" s="241">
        <v>4070</v>
      </c>
      <c r="C107" s="239" t="s">
        <v>213</v>
      </c>
      <c r="D107" s="243">
        <v>12</v>
      </c>
      <c r="E107" s="245">
        <v>6.5000000000000002E-2</v>
      </c>
      <c r="F107" s="41">
        <v>6.18</v>
      </c>
      <c r="G107" s="41">
        <v>6.51</v>
      </c>
      <c r="H107" s="45">
        <f t="shared" si="11"/>
        <v>5.6697247706422012</v>
      </c>
      <c r="I107" s="45">
        <f t="shared" si="12"/>
        <v>5.9724770642201825</v>
      </c>
      <c r="J107" s="60">
        <v>5.75</v>
      </c>
      <c r="K107" s="47">
        <f t="shared" si="13"/>
        <v>4.8319327731092443</v>
      </c>
      <c r="L107" s="48">
        <f t="shared" si="14"/>
        <v>4.4573643410852712</v>
      </c>
    </row>
    <row r="108" spans="1:12" x14ac:dyDescent="0.25">
      <c r="A108" s="288"/>
      <c r="B108" s="241">
        <v>4071</v>
      </c>
      <c r="C108" s="239" t="s">
        <v>214</v>
      </c>
      <c r="D108" s="243">
        <v>12</v>
      </c>
      <c r="E108" s="245">
        <v>6.5000000000000002E-2</v>
      </c>
      <c r="F108" s="41">
        <v>9</v>
      </c>
      <c r="G108" s="41">
        <v>9.4</v>
      </c>
      <c r="H108" s="45">
        <f t="shared" si="11"/>
        <v>8.2568807339449535</v>
      </c>
      <c r="I108" s="45">
        <f t="shared" si="12"/>
        <v>8.6238532110091732</v>
      </c>
      <c r="J108" s="60">
        <v>8.5</v>
      </c>
      <c r="K108" s="47">
        <f t="shared" si="13"/>
        <v>7.1428571428571432</v>
      </c>
      <c r="L108" s="48">
        <f t="shared" si="14"/>
        <v>6.5891472868217056</v>
      </c>
    </row>
    <row r="109" spans="1:12" x14ac:dyDescent="0.25">
      <c r="A109" s="288"/>
      <c r="B109" s="241">
        <v>6007</v>
      </c>
      <c r="C109" s="239" t="s">
        <v>84</v>
      </c>
      <c r="D109" s="243">
        <v>24</v>
      </c>
      <c r="E109" s="245">
        <v>6.5000000000000002E-2</v>
      </c>
      <c r="F109" s="41">
        <v>6.7</v>
      </c>
      <c r="G109" s="41">
        <v>7.15</v>
      </c>
      <c r="H109" s="45">
        <f t="shared" si="11"/>
        <v>6.1467889908256881</v>
      </c>
      <c r="I109" s="45">
        <f t="shared" si="12"/>
        <v>6.5596330275229358</v>
      </c>
      <c r="J109" s="60">
        <v>6.13</v>
      </c>
      <c r="K109" s="47">
        <f t="shared" si="13"/>
        <v>5.151260504201681</v>
      </c>
      <c r="L109" s="48">
        <f t="shared" si="14"/>
        <v>4.7519379844961236</v>
      </c>
    </row>
    <row r="110" spans="1:12" x14ac:dyDescent="0.25">
      <c r="A110" s="288"/>
      <c r="B110" s="241">
        <v>6009</v>
      </c>
      <c r="C110" s="239" t="s">
        <v>85</v>
      </c>
      <c r="D110" s="243">
        <v>12</v>
      </c>
      <c r="E110" s="245">
        <v>6.5000000000000002E-2</v>
      </c>
      <c r="F110" s="41">
        <v>18.34</v>
      </c>
      <c r="G110" s="41">
        <v>19.43</v>
      </c>
      <c r="H110" s="45">
        <f t="shared" si="11"/>
        <v>16.825688073394495</v>
      </c>
      <c r="I110" s="45">
        <f t="shared" si="12"/>
        <v>17.825688073394495</v>
      </c>
      <c r="J110" s="60">
        <v>16.98</v>
      </c>
      <c r="K110" s="47">
        <f t="shared" si="13"/>
        <v>14.268907563025211</v>
      </c>
      <c r="L110" s="48">
        <f t="shared" si="14"/>
        <v>13.162790697674419</v>
      </c>
    </row>
    <row r="111" spans="1:12" ht="15.75" thickBot="1" x14ac:dyDescent="0.3">
      <c r="A111" s="289"/>
      <c r="B111" s="242">
        <v>6011</v>
      </c>
      <c r="C111" s="240" t="s">
        <v>86</v>
      </c>
      <c r="D111" s="244">
        <v>24</v>
      </c>
      <c r="E111" s="246">
        <v>6.5000000000000002E-2</v>
      </c>
      <c r="F111" s="41">
        <v>5.05</v>
      </c>
      <c r="G111" s="41">
        <v>5.36</v>
      </c>
      <c r="H111" s="45">
        <f t="shared" si="11"/>
        <v>4.6330275229357794</v>
      </c>
      <c r="I111" s="45">
        <f t="shared" si="12"/>
        <v>4.9174311926605503</v>
      </c>
      <c r="J111" s="60">
        <v>4.68</v>
      </c>
      <c r="K111" s="47">
        <f t="shared" si="13"/>
        <v>3.9327731092436973</v>
      </c>
      <c r="L111" s="48">
        <f t="shared" si="14"/>
        <v>3.6279069767441858</v>
      </c>
    </row>
    <row r="112" spans="1:12" ht="15" customHeight="1" x14ac:dyDescent="0.25">
      <c r="A112" s="279" t="s">
        <v>11</v>
      </c>
      <c r="B112" s="225">
        <v>8001</v>
      </c>
      <c r="C112" s="228" t="s">
        <v>87</v>
      </c>
      <c r="D112" s="232">
        <v>9</v>
      </c>
      <c r="E112" s="235">
        <v>6.5000000000000002E-2</v>
      </c>
      <c r="F112" s="40">
        <v>45.15</v>
      </c>
      <c r="G112" s="40">
        <v>49.19</v>
      </c>
      <c r="H112" s="46">
        <f t="shared" si="11"/>
        <v>41.422018348623851</v>
      </c>
      <c r="I112" s="46">
        <f t="shared" si="12"/>
        <v>45.12844036697247</v>
      </c>
      <c r="J112" s="59">
        <v>40.1</v>
      </c>
      <c r="K112" s="73">
        <f t="shared" si="13"/>
        <v>33.69747899159664</v>
      </c>
      <c r="L112" s="74">
        <f t="shared" si="14"/>
        <v>31.085271317829459</v>
      </c>
    </row>
    <row r="113" spans="1:12" x14ac:dyDescent="0.25">
      <c r="A113" s="280"/>
      <c r="B113" s="226">
        <v>8002</v>
      </c>
      <c r="C113" s="227" t="s">
        <v>88</v>
      </c>
      <c r="D113" s="233">
        <v>6</v>
      </c>
      <c r="E113" s="236">
        <v>6.5000000000000002E-2</v>
      </c>
      <c r="F113" s="41">
        <v>58.48</v>
      </c>
      <c r="G113" s="41">
        <v>63.86</v>
      </c>
      <c r="H113" s="45">
        <f t="shared" ref="H113:I119" si="15">F113/1.09</f>
        <v>53.651376146788984</v>
      </c>
      <c r="I113" s="45">
        <f t="shared" si="15"/>
        <v>58.587155963302749</v>
      </c>
      <c r="J113" s="60">
        <v>51.75</v>
      </c>
      <c r="K113" s="47">
        <f t="shared" ref="K113:K119" si="16">J113/1.19</f>
        <v>43.487394957983199</v>
      </c>
      <c r="L113" s="48">
        <f t="shared" ref="L113:L119" si="17">J113/1.29</f>
        <v>40.116279069767444</v>
      </c>
    </row>
    <row r="114" spans="1:12" x14ac:dyDescent="0.25">
      <c r="A114" s="280"/>
      <c r="B114" s="226">
        <v>8003</v>
      </c>
      <c r="C114" s="227" t="s">
        <v>89</v>
      </c>
      <c r="D114" s="231">
        <v>6</v>
      </c>
      <c r="E114" s="236">
        <v>6.5000000000000002E-2</v>
      </c>
      <c r="F114" s="41">
        <v>64.89</v>
      </c>
      <c r="G114" s="41">
        <v>70.260000000000005</v>
      </c>
      <c r="H114" s="45">
        <f t="shared" si="15"/>
        <v>59.532110091743114</v>
      </c>
      <c r="I114" s="45">
        <f t="shared" si="15"/>
        <v>64.458715596330279</v>
      </c>
      <c r="J114" s="60">
        <v>58.15</v>
      </c>
      <c r="K114" s="47">
        <f t="shared" si="16"/>
        <v>48.865546218487395</v>
      </c>
      <c r="L114" s="48">
        <f t="shared" si="17"/>
        <v>45.077519379844958</v>
      </c>
    </row>
    <row r="115" spans="1:12" x14ac:dyDescent="0.25">
      <c r="A115" s="280"/>
      <c r="B115" s="226">
        <v>8004</v>
      </c>
      <c r="C115" s="227" t="s">
        <v>204</v>
      </c>
      <c r="D115" s="231">
        <v>12</v>
      </c>
      <c r="E115" s="236">
        <v>6.5000000000000002E-2</v>
      </c>
      <c r="F115" s="41">
        <v>18.350000000000001</v>
      </c>
      <c r="G115" s="41">
        <v>19.440000000000001</v>
      </c>
      <c r="H115" s="45">
        <f t="shared" si="15"/>
        <v>16.834862385321102</v>
      </c>
      <c r="I115" s="45">
        <f t="shared" si="15"/>
        <v>17.834862385321102</v>
      </c>
      <c r="J115" s="60">
        <v>17</v>
      </c>
      <c r="K115" s="47">
        <f t="shared" si="16"/>
        <v>14.285714285714286</v>
      </c>
      <c r="L115" s="48">
        <f t="shared" si="17"/>
        <v>13.178294573643411</v>
      </c>
    </row>
    <row r="116" spans="1:12" x14ac:dyDescent="0.25">
      <c r="A116" s="280"/>
      <c r="B116" s="226">
        <v>8011</v>
      </c>
      <c r="C116" s="227" t="s">
        <v>91</v>
      </c>
      <c r="D116" s="231">
        <v>12</v>
      </c>
      <c r="E116" s="236">
        <v>6.5000000000000002E-2</v>
      </c>
      <c r="F116" s="41">
        <v>20.059999999999999</v>
      </c>
      <c r="G116" s="41">
        <v>22.43</v>
      </c>
      <c r="H116" s="45">
        <f t="shared" si="15"/>
        <v>18.403669724770641</v>
      </c>
      <c r="I116" s="45">
        <f t="shared" si="15"/>
        <v>20.577981651376145</v>
      </c>
      <c r="J116" s="60">
        <v>17.100000000000001</v>
      </c>
      <c r="K116" s="47">
        <f t="shared" si="16"/>
        <v>14.369747899159666</v>
      </c>
      <c r="L116" s="48">
        <f t="shared" si="17"/>
        <v>13.255813953488373</v>
      </c>
    </row>
    <row r="117" spans="1:12" x14ac:dyDescent="0.25">
      <c r="A117" s="280"/>
      <c r="B117" s="226">
        <v>8012</v>
      </c>
      <c r="C117" s="227" t="s">
        <v>110</v>
      </c>
      <c r="D117" s="231">
        <v>12</v>
      </c>
      <c r="E117" s="236">
        <v>6.5000000000000002E-2</v>
      </c>
      <c r="F117" s="41">
        <v>5.95</v>
      </c>
      <c r="G117" s="41">
        <v>6.48</v>
      </c>
      <c r="H117" s="45">
        <f t="shared" si="15"/>
        <v>5.4587155963302747</v>
      </c>
      <c r="I117" s="45">
        <f t="shared" si="15"/>
        <v>5.9449541284403669</v>
      </c>
      <c r="J117" s="60">
        <v>5.29</v>
      </c>
      <c r="K117" s="47">
        <f t="shared" si="16"/>
        <v>4.4453781512605044</v>
      </c>
      <c r="L117" s="48">
        <f t="shared" si="17"/>
        <v>4.1007751937984498</v>
      </c>
    </row>
    <row r="118" spans="1:12" x14ac:dyDescent="0.25">
      <c r="A118" s="280"/>
      <c r="B118" s="226">
        <v>8013</v>
      </c>
      <c r="C118" s="227" t="s">
        <v>168</v>
      </c>
      <c r="D118" s="231">
        <v>12</v>
      </c>
      <c r="E118" s="237">
        <v>6.5000000000000002E-2</v>
      </c>
      <c r="F118" s="41">
        <v>11.83</v>
      </c>
      <c r="G118" s="41">
        <v>12.88</v>
      </c>
      <c r="H118" s="45">
        <f t="shared" si="15"/>
        <v>10.853211009174311</v>
      </c>
      <c r="I118" s="45">
        <f t="shared" si="15"/>
        <v>11.81651376146789</v>
      </c>
      <c r="J118" s="60">
        <v>10.53</v>
      </c>
      <c r="K118" s="47">
        <f t="shared" si="16"/>
        <v>8.8487394957983199</v>
      </c>
      <c r="L118" s="48">
        <f t="shared" si="17"/>
        <v>8.1627906976744171</v>
      </c>
    </row>
    <row r="119" spans="1:12" ht="15.75" thickBot="1" x14ac:dyDescent="0.3">
      <c r="A119" s="290"/>
      <c r="B119" s="229">
        <v>8014</v>
      </c>
      <c r="C119" s="230" t="s">
        <v>205</v>
      </c>
      <c r="D119" s="234">
        <v>12</v>
      </c>
      <c r="E119" s="238">
        <v>6.5000000000000002E-2</v>
      </c>
      <c r="F119" s="44">
        <v>9.18</v>
      </c>
      <c r="G119" s="44">
        <v>9.58</v>
      </c>
      <c r="H119" s="128">
        <f t="shared" si="15"/>
        <v>8.4220183486238529</v>
      </c>
      <c r="I119" s="128">
        <f t="shared" si="15"/>
        <v>8.7889908256880727</v>
      </c>
      <c r="J119" s="109">
        <v>8.68</v>
      </c>
      <c r="K119" s="121">
        <f t="shared" si="16"/>
        <v>7.2941176470588234</v>
      </c>
      <c r="L119" s="120">
        <f t="shared" si="17"/>
        <v>6.7286821705426352</v>
      </c>
    </row>
    <row r="120" spans="1:12" ht="15.75" thickBot="1" x14ac:dyDescent="0.3">
      <c r="A120" s="12"/>
      <c r="B120" s="13"/>
      <c r="C120" s="14"/>
      <c r="D120" s="13"/>
      <c r="E120" s="15"/>
      <c r="F120" s="16"/>
      <c r="G120" s="16"/>
      <c r="H120" s="16"/>
      <c r="I120" s="16"/>
      <c r="J120" s="17"/>
      <c r="K120" s="18"/>
      <c r="L120" s="19"/>
    </row>
    <row r="121" spans="1:12" ht="15.75" thickBot="1" x14ac:dyDescent="0.3">
      <c r="A121" s="277" t="s">
        <v>111</v>
      </c>
      <c r="B121" s="278"/>
      <c r="C121" s="278"/>
      <c r="D121" s="20"/>
      <c r="E121" s="20"/>
      <c r="F121" s="20"/>
      <c r="G121" s="20"/>
      <c r="H121" s="20"/>
      <c r="I121" s="20"/>
      <c r="J121" s="20"/>
      <c r="K121" s="20"/>
      <c r="L121" s="21"/>
    </row>
    <row r="122" spans="1:12" ht="15.75" thickBot="1" x14ac:dyDescent="0.3">
      <c r="A122" s="297" t="s">
        <v>170</v>
      </c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9"/>
    </row>
    <row r="123" spans="1:12" ht="15.75" thickBot="1" x14ac:dyDescent="0.3">
      <c r="A123" s="300" t="s">
        <v>175</v>
      </c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2"/>
    </row>
    <row r="124" spans="1:12" x14ac:dyDescent="0.25">
      <c r="A124" s="38" t="s">
        <v>113</v>
      </c>
      <c r="B124" s="39"/>
      <c r="C124" s="39"/>
      <c r="D124" s="26"/>
      <c r="E124" s="26"/>
      <c r="F124" s="26"/>
      <c r="G124" s="26"/>
      <c r="H124" s="26"/>
      <c r="I124" s="26"/>
      <c r="J124" s="26"/>
      <c r="K124" s="26"/>
      <c r="L124" s="27"/>
    </row>
    <row r="125" spans="1:12" x14ac:dyDescent="0.25">
      <c r="A125" s="294" t="s">
        <v>145</v>
      </c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6"/>
    </row>
    <row r="126" spans="1:12" x14ac:dyDescent="0.25">
      <c r="A126" s="294" t="s">
        <v>114</v>
      </c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6"/>
    </row>
    <row r="127" spans="1:12" x14ac:dyDescent="0.25">
      <c r="A127" s="294" t="s">
        <v>115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6"/>
    </row>
    <row r="128" spans="1:12" x14ac:dyDescent="0.25">
      <c r="A128" s="294" t="s">
        <v>116</v>
      </c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6"/>
    </row>
    <row r="129" spans="1:12" ht="15.75" thickBot="1" x14ac:dyDescent="0.3">
      <c r="A129" s="57" t="s">
        <v>117</v>
      </c>
      <c r="B129" s="22"/>
      <c r="C129" s="22"/>
      <c r="D129" s="22"/>
      <c r="E129" s="22"/>
      <c r="F129" s="22"/>
      <c r="G129" s="58"/>
      <c r="H129" s="22"/>
      <c r="I129" s="22"/>
      <c r="J129" s="22"/>
      <c r="K129" s="22"/>
      <c r="L129" s="23"/>
    </row>
    <row r="130" spans="1:12" ht="15.75" thickBot="1" x14ac:dyDescent="0.3">
      <c r="A130" s="297" t="s">
        <v>176</v>
      </c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9"/>
    </row>
    <row r="131" spans="1:12" x14ac:dyDescent="0.25">
      <c r="A131" s="6" t="s">
        <v>119</v>
      </c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9"/>
    </row>
    <row r="132" spans="1:12" x14ac:dyDescent="0.25">
      <c r="A132" s="51" t="s">
        <v>171</v>
      </c>
      <c r="B132" s="52"/>
      <c r="C132" s="52"/>
      <c r="D132" s="52"/>
      <c r="E132" s="52"/>
      <c r="F132" s="10"/>
      <c r="G132" s="10"/>
      <c r="H132" s="10"/>
      <c r="I132" s="10"/>
      <c r="J132" s="10"/>
      <c r="K132" s="10"/>
      <c r="L132" s="11"/>
    </row>
    <row r="133" spans="1:12" x14ac:dyDescent="0.25">
      <c r="A133" s="303" t="s">
        <v>172</v>
      </c>
      <c r="B133" s="304"/>
      <c r="C133" s="304"/>
      <c r="D133" s="304"/>
      <c r="E133" s="304"/>
      <c r="F133" s="304"/>
      <c r="G133" s="304"/>
      <c r="H133" s="304"/>
      <c r="I133" s="304"/>
      <c r="J133" s="304"/>
      <c r="K133" s="304"/>
      <c r="L133" s="305"/>
    </row>
    <row r="134" spans="1:12" x14ac:dyDescent="0.25">
      <c r="A134" s="303" t="s">
        <v>173</v>
      </c>
      <c r="B134" s="304"/>
      <c r="C134" s="304"/>
      <c r="D134" s="304"/>
      <c r="E134" s="304"/>
      <c r="F134" s="304"/>
      <c r="G134" s="304"/>
      <c r="H134" s="304"/>
      <c r="I134" s="304"/>
      <c r="J134" s="304"/>
      <c r="K134" s="304"/>
      <c r="L134" s="305"/>
    </row>
    <row r="135" spans="1:12" x14ac:dyDescent="0.25">
      <c r="A135" s="303" t="s">
        <v>174</v>
      </c>
      <c r="B135" s="304"/>
      <c r="C135" s="304"/>
      <c r="D135" s="304"/>
      <c r="E135" s="304"/>
      <c r="F135" s="304"/>
      <c r="G135" s="304"/>
      <c r="H135" s="304"/>
      <c r="I135" s="304"/>
      <c r="J135" s="304"/>
      <c r="K135" s="304"/>
      <c r="L135" s="305"/>
    </row>
    <row r="136" spans="1:12" ht="15.75" thickBot="1" x14ac:dyDescent="0.3">
      <c r="A136" s="306" t="s">
        <v>124</v>
      </c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8"/>
    </row>
    <row r="137" spans="1:12" ht="15.75" thickBot="1" x14ac:dyDescent="0.3">
      <c r="A137" s="253" t="s">
        <v>177</v>
      </c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5"/>
    </row>
    <row r="138" spans="1:12" x14ac:dyDescent="0.25">
      <c r="A138" s="256" t="s">
        <v>126</v>
      </c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8"/>
    </row>
    <row r="139" spans="1:12" x14ac:dyDescent="0.25">
      <c r="A139" s="294" t="s">
        <v>127</v>
      </c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6"/>
    </row>
    <row r="140" spans="1:12" x14ac:dyDescent="0.25">
      <c r="A140" s="294" t="s">
        <v>128</v>
      </c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6"/>
    </row>
    <row r="141" spans="1:12" ht="15.75" thickBot="1" x14ac:dyDescent="0.3">
      <c r="A141" s="309" t="s">
        <v>129</v>
      </c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1"/>
    </row>
    <row r="142" spans="1:12" ht="15.75" thickBot="1" x14ac:dyDescent="0.3">
      <c r="A142" s="49" t="s">
        <v>178</v>
      </c>
      <c r="B142" s="50"/>
      <c r="C142" s="50"/>
      <c r="D142" s="36"/>
      <c r="E142" s="36"/>
      <c r="F142" s="36"/>
      <c r="G142" s="36"/>
      <c r="H142" s="36"/>
      <c r="I142" s="36"/>
      <c r="J142" s="36"/>
      <c r="K142" s="36"/>
      <c r="L142" s="37"/>
    </row>
    <row r="143" spans="1:12" x14ac:dyDescent="0.25">
      <c r="A143" s="51" t="s">
        <v>144</v>
      </c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3"/>
    </row>
    <row r="144" spans="1:12" ht="15.75" thickBot="1" x14ac:dyDescent="0.3">
      <c r="A144" s="54" t="s">
        <v>131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6"/>
    </row>
    <row r="145" spans="1:12" ht="15.75" thickBot="1" x14ac:dyDescent="0.3">
      <c r="A145" s="291" t="s">
        <v>179</v>
      </c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3"/>
    </row>
    <row r="146" spans="1:12" x14ac:dyDescent="0.25">
      <c r="A146" s="294" t="s">
        <v>133</v>
      </c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6"/>
    </row>
    <row r="147" spans="1:12" x14ac:dyDescent="0.25">
      <c r="A147" s="294" t="s">
        <v>134</v>
      </c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6"/>
    </row>
    <row r="148" spans="1:12" x14ac:dyDescent="0.25">
      <c r="A148" s="294" t="s">
        <v>135</v>
      </c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6"/>
    </row>
    <row r="149" spans="1:12" x14ac:dyDescent="0.25">
      <c r="A149" s="294" t="s">
        <v>136</v>
      </c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6"/>
    </row>
    <row r="150" spans="1:12" x14ac:dyDescent="0.25">
      <c r="A150" s="294" t="s">
        <v>137</v>
      </c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6"/>
    </row>
    <row r="151" spans="1:12" ht="15.75" thickBot="1" x14ac:dyDescent="0.3">
      <c r="A151" s="309" t="s">
        <v>138</v>
      </c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1"/>
    </row>
    <row r="153" spans="1:12" ht="21" x14ac:dyDescent="0.35">
      <c r="A153" s="328" t="s">
        <v>217</v>
      </c>
      <c r="B153" s="328"/>
      <c r="C153" s="329"/>
    </row>
    <row r="154" spans="1:12" x14ac:dyDescent="0.25">
      <c r="A154" s="327" t="s">
        <v>218</v>
      </c>
      <c r="B154" s="327"/>
    </row>
    <row r="155" spans="1:12" x14ac:dyDescent="0.25">
      <c r="A155" s="327" t="s">
        <v>219</v>
      </c>
      <c r="B155" s="327"/>
    </row>
    <row r="156" spans="1:12" x14ac:dyDescent="0.25">
      <c r="A156" s="327" t="s">
        <v>220</v>
      </c>
      <c r="B156" s="327"/>
    </row>
    <row r="157" spans="1:12" x14ac:dyDescent="0.25">
      <c r="A157" s="327" t="s">
        <v>221</v>
      </c>
      <c r="B157" s="327"/>
    </row>
    <row r="158" spans="1:12" x14ac:dyDescent="0.25">
      <c r="A158" s="327" t="s">
        <v>222</v>
      </c>
      <c r="B158" s="327"/>
    </row>
    <row r="159" spans="1:12" x14ac:dyDescent="0.25">
      <c r="A159" s="327" t="s">
        <v>223</v>
      </c>
      <c r="B159" s="327"/>
    </row>
    <row r="160" spans="1:12" x14ac:dyDescent="0.25">
      <c r="A160" s="327" t="s">
        <v>224</v>
      </c>
      <c r="B160" s="327"/>
    </row>
    <row r="161" spans="1:2" x14ac:dyDescent="0.25">
      <c r="A161" s="327" t="s">
        <v>225</v>
      </c>
      <c r="B161" s="327"/>
    </row>
    <row r="162" spans="1:2" x14ac:dyDescent="0.25">
      <c r="A162" s="327" t="s">
        <v>226</v>
      </c>
      <c r="B162" s="327"/>
    </row>
    <row r="163" spans="1:2" x14ac:dyDescent="0.25">
      <c r="A163" s="327" t="s">
        <v>227</v>
      </c>
      <c r="B163" s="327"/>
    </row>
    <row r="164" spans="1:2" x14ac:dyDescent="0.25">
      <c r="A164" s="327" t="s">
        <v>228</v>
      </c>
      <c r="B164" s="327"/>
    </row>
    <row r="165" spans="1:2" x14ac:dyDescent="0.25">
      <c r="A165" s="327" t="s">
        <v>229</v>
      </c>
      <c r="B165" s="327"/>
    </row>
    <row r="166" spans="1:2" x14ac:dyDescent="0.25">
      <c r="A166" s="327" t="s">
        <v>230</v>
      </c>
      <c r="B166" s="327"/>
    </row>
  </sheetData>
  <sortState ref="B113:L119">
    <sortCondition ref="B112"/>
  </sortState>
  <mergeCells count="34">
    <mergeCell ref="C1:E1"/>
    <mergeCell ref="F1:G2"/>
    <mergeCell ref="J1:L2"/>
    <mergeCell ref="C2:E2"/>
    <mergeCell ref="H1:I2"/>
    <mergeCell ref="A128:L128"/>
    <mergeCell ref="A4:A18"/>
    <mergeCell ref="A121:C121"/>
    <mergeCell ref="A122:L122"/>
    <mergeCell ref="A123:L123"/>
    <mergeCell ref="A125:L125"/>
    <mergeCell ref="A126:L126"/>
    <mergeCell ref="A127:L127"/>
    <mergeCell ref="A19:A53"/>
    <mergeCell ref="A54:A65"/>
    <mergeCell ref="A112:A119"/>
    <mergeCell ref="A66:A111"/>
    <mergeCell ref="A146:L146"/>
    <mergeCell ref="A130:L130"/>
    <mergeCell ref="A133:L133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5:L145"/>
    <mergeCell ref="A147:L147"/>
    <mergeCell ref="A148:L148"/>
    <mergeCell ref="A149:L149"/>
    <mergeCell ref="A150:L150"/>
    <mergeCell ref="A151:L151"/>
  </mergeCells>
  <pageMargins left="0.51181102362204722" right="0" top="0.19685039370078741" bottom="0.19685039370078741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activeCell="L28" sqref="L27:L28"/>
    </sheetView>
  </sheetViews>
  <sheetFormatPr defaultColWidth="9.140625" defaultRowHeight="15" x14ac:dyDescent="0.25"/>
  <cols>
    <col min="1" max="1" width="5.42578125" style="1" customWidth="1"/>
    <col min="2" max="2" width="6.5703125" style="1" bestFit="1" customWidth="1"/>
    <col min="3" max="3" width="47" style="1" customWidth="1"/>
    <col min="4" max="4" width="5.7109375" style="1" bestFit="1" customWidth="1"/>
    <col min="5" max="5" width="5.42578125" style="1" bestFit="1" customWidth="1"/>
    <col min="6" max="6" width="7.85546875" style="1" customWidth="1"/>
    <col min="7" max="7" width="7.140625" style="1" bestFit="1" customWidth="1"/>
    <col min="8" max="8" width="9.140625" style="1"/>
    <col min="9" max="9" width="11.5703125" style="1" customWidth="1"/>
    <col min="10" max="16384" width="9.140625" style="1"/>
  </cols>
  <sheetData>
    <row r="1" spans="1:7" ht="15" customHeight="1" x14ac:dyDescent="0.25">
      <c r="A1" s="2"/>
      <c r="B1" s="3"/>
      <c r="C1" s="269" t="s">
        <v>169</v>
      </c>
      <c r="D1" s="270"/>
      <c r="E1" s="271"/>
      <c r="F1" s="316" t="s">
        <v>95</v>
      </c>
      <c r="G1" s="139" t="s">
        <v>12</v>
      </c>
    </row>
    <row r="2" spans="1:7" ht="15.75" thickBot="1" x14ac:dyDescent="0.3">
      <c r="A2" s="4"/>
      <c r="B2" s="5"/>
      <c r="C2" s="272" t="s">
        <v>146</v>
      </c>
      <c r="D2" s="273"/>
      <c r="E2" s="274"/>
      <c r="F2" s="317"/>
      <c r="G2" s="140" t="s">
        <v>13</v>
      </c>
    </row>
    <row r="3" spans="1:7" ht="23.25" thickBot="1" x14ac:dyDescent="0.3">
      <c r="A3" s="111" t="s">
        <v>93</v>
      </c>
      <c r="B3" s="112" t="s">
        <v>0</v>
      </c>
      <c r="C3" s="72" t="s">
        <v>14</v>
      </c>
      <c r="D3" s="84" t="s">
        <v>92</v>
      </c>
      <c r="E3" s="96" t="s">
        <v>1</v>
      </c>
      <c r="F3" s="134" t="s">
        <v>150</v>
      </c>
      <c r="G3" s="141" t="s">
        <v>150</v>
      </c>
    </row>
    <row r="4" spans="1:7" x14ac:dyDescent="0.25">
      <c r="A4" s="279" t="s">
        <v>7</v>
      </c>
      <c r="B4" s="65" t="s">
        <v>2</v>
      </c>
      <c r="C4" s="69" t="s">
        <v>15</v>
      </c>
      <c r="D4" s="85">
        <v>60</v>
      </c>
      <c r="E4" s="97">
        <v>6.5000000000000002E-2</v>
      </c>
      <c r="F4" s="135"/>
      <c r="G4" s="142">
        <f t="shared" ref="G4:G35" si="0">F4/1.06</f>
        <v>0</v>
      </c>
    </row>
    <row r="5" spans="1:7" x14ac:dyDescent="0.25">
      <c r="A5" s="280"/>
      <c r="B5" s="66" t="s">
        <v>3</v>
      </c>
      <c r="C5" s="62" t="s">
        <v>16</v>
      </c>
      <c r="D5" s="86">
        <v>12</v>
      </c>
      <c r="E5" s="98">
        <v>6.5000000000000002E-2</v>
      </c>
      <c r="F5" s="136"/>
      <c r="G5" s="143">
        <f t="shared" si="0"/>
        <v>0</v>
      </c>
    </row>
    <row r="6" spans="1:7" x14ac:dyDescent="0.25">
      <c r="A6" s="280"/>
      <c r="B6" s="66" t="s">
        <v>4</v>
      </c>
      <c r="C6" s="62" t="s">
        <v>17</v>
      </c>
      <c r="D6" s="86">
        <v>60</v>
      </c>
      <c r="E6" s="98">
        <v>6.5000000000000002E-2</v>
      </c>
      <c r="F6" s="136"/>
      <c r="G6" s="143">
        <f t="shared" si="0"/>
        <v>0</v>
      </c>
    </row>
    <row r="7" spans="1:7" x14ac:dyDescent="0.25">
      <c r="A7" s="280"/>
      <c r="B7" s="66" t="s">
        <v>5</v>
      </c>
      <c r="C7" s="62" t="s">
        <v>18</v>
      </c>
      <c r="D7" s="86">
        <v>12</v>
      </c>
      <c r="E7" s="98">
        <v>6.5000000000000002E-2</v>
      </c>
      <c r="F7" s="136"/>
      <c r="G7" s="143">
        <f t="shared" si="0"/>
        <v>0</v>
      </c>
    </row>
    <row r="8" spans="1:7" x14ac:dyDescent="0.25">
      <c r="A8" s="280"/>
      <c r="B8" s="66" t="s">
        <v>154</v>
      </c>
      <c r="C8" s="62" t="s">
        <v>155</v>
      </c>
      <c r="D8" s="86">
        <v>5</v>
      </c>
      <c r="E8" s="98">
        <v>6.5000000000000002E-2</v>
      </c>
      <c r="F8" s="41"/>
      <c r="G8" s="143">
        <f t="shared" si="0"/>
        <v>0</v>
      </c>
    </row>
    <row r="9" spans="1:7" x14ac:dyDescent="0.25">
      <c r="A9" s="280"/>
      <c r="B9" s="66">
        <v>1010</v>
      </c>
      <c r="C9" s="62" t="s">
        <v>19</v>
      </c>
      <c r="D9" s="86">
        <v>12</v>
      </c>
      <c r="E9" s="98">
        <v>6.5000000000000002E-2</v>
      </c>
      <c r="F9" s="136"/>
      <c r="G9" s="143">
        <f t="shared" si="0"/>
        <v>0</v>
      </c>
    </row>
    <row r="10" spans="1:7" x14ac:dyDescent="0.25">
      <c r="A10" s="280"/>
      <c r="B10" s="66">
        <v>1011</v>
      </c>
      <c r="C10" s="62" t="s">
        <v>20</v>
      </c>
      <c r="D10" s="86">
        <v>12</v>
      </c>
      <c r="E10" s="98">
        <v>6.5000000000000002E-2</v>
      </c>
      <c r="F10" s="136"/>
      <c r="G10" s="143">
        <f t="shared" si="0"/>
        <v>0</v>
      </c>
    </row>
    <row r="11" spans="1:7" x14ac:dyDescent="0.25">
      <c r="A11" s="280"/>
      <c r="B11" s="66">
        <v>1012</v>
      </c>
      <c r="C11" s="62" t="s">
        <v>21</v>
      </c>
      <c r="D11" s="86">
        <v>12</v>
      </c>
      <c r="E11" s="98">
        <v>6.5000000000000002E-2</v>
      </c>
      <c r="F11" s="136"/>
      <c r="G11" s="143">
        <f t="shared" si="0"/>
        <v>0</v>
      </c>
    </row>
    <row r="12" spans="1:7" x14ac:dyDescent="0.25">
      <c r="A12" s="280"/>
      <c r="B12" s="66">
        <v>1013</v>
      </c>
      <c r="C12" s="62" t="s">
        <v>22</v>
      </c>
      <c r="D12" s="86">
        <v>12</v>
      </c>
      <c r="E12" s="98">
        <v>6.5000000000000002E-2</v>
      </c>
      <c r="F12" s="136"/>
      <c r="G12" s="143">
        <f t="shared" si="0"/>
        <v>0</v>
      </c>
    </row>
    <row r="13" spans="1:7" x14ac:dyDescent="0.25">
      <c r="A13" s="280"/>
      <c r="B13" s="66">
        <v>1023</v>
      </c>
      <c r="C13" s="62" t="s">
        <v>23</v>
      </c>
      <c r="D13" s="86">
        <v>12</v>
      </c>
      <c r="E13" s="98">
        <v>6.5000000000000002E-2</v>
      </c>
      <c r="F13" s="136"/>
      <c r="G13" s="143">
        <f t="shared" si="0"/>
        <v>0</v>
      </c>
    </row>
    <row r="14" spans="1:7" x14ac:dyDescent="0.25">
      <c r="A14" s="280"/>
      <c r="B14" s="66">
        <v>1024</v>
      </c>
      <c r="C14" s="62" t="s">
        <v>24</v>
      </c>
      <c r="D14" s="86">
        <v>12</v>
      </c>
      <c r="E14" s="98">
        <v>6.5000000000000002E-2</v>
      </c>
      <c r="F14" s="136"/>
      <c r="G14" s="143">
        <f t="shared" si="0"/>
        <v>0</v>
      </c>
    </row>
    <row r="15" spans="1:7" x14ac:dyDescent="0.25">
      <c r="A15" s="280"/>
      <c r="B15" s="66">
        <v>1025</v>
      </c>
      <c r="C15" s="62" t="s">
        <v>25</v>
      </c>
      <c r="D15" s="86">
        <v>12</v>
      </c>
      <c r="E15" s="98">
        <v>6.5000000000000002E-2</v>
      </c>
      <c r="F15" s="136"/>
      <c r="G15" s="143">
        <f t="shared" si="0"/>
        <v>0</v>
      </c>
    </row>
    <row r="16" spans="1:7" x14ac:dyDescent="0.25">
      <c r="A16" s="280"/>
      <c r="B16" s="66" t="s">
        <v>157</v>
      </c>
      <c r="C16" s="62" t="s">
        <v>158</v>
      </c>
      <c r="D16" s="86">
        <v>12</v>
      </c>
      <c r="E16" s="98">
        <v>6.5000000000000002E-2</v>
      </c>
      <c r="F16" s="136"/>
      <c r="G16" s="143">
        <f t="shared" si="0"/>
        <v>0</v>
      </c>
    </row>
    <row r="17" spans="1:7" x14ac:dyDescent="0.25">
      <c r="A17" s="280"/>
      <c r="B17" s="66" t="s">
        <v>6</v>
      </c>
      <c r="C17" s="62" t="s">
        <v>26</v>
      </c>
      <c r="D17" s="86">
        <v>12</v>
      </c>
      <c r="E17" s="98">
        <v>6.5000000000000002E-2</v>
      </c>
      <c r="F17" s="136"/>
      <c r="G17" s="143">
        <f t="shared" si="0"/>
        <v>0</v>
      </c>
    </row>
    <row r="18" spans="1:7" ht="15.75" thickBot="1" x14ac:dyDescent="0.3">
      <c r="A18" s="280"/>
      <c r="B18" s="167">
        <v>1038</v>
      </c>
      <c r="C18" s="168" t="s">
        <v>27</v>
      </c>
      <c r="D18" s="169">
        <v>24</v>
      </c>
      <c r="E18" s="170">
        <v>6.5000000000000002E-2</v>
      </c>
      <c r="F18" s="136"/>
      <c r="G18" s="143">
        <f t="shared" si="0"/>
        <v>0</v>
      </c>
    </row>
    <row r="19" spans="1:7" x14ac:dyDescent="0.25">
      <c r="A19" s="282" t="s">
        <v>8</v>
      </c>
      <c r="B19" s="68">
        <v>2100</v>
      </c>
      <c r="C19" s="63" t="s">
        <v>28</v>
      </c>
      <c r="D19" s="88">
        <v>6</v>
      </c>
      <c r="E19" s="97">
        <v>6.5000000000000002E-2</v>
      </c>
      <c r="F19" s="182"/>
      <c r="G19" s="180">
        <f t="shared" si="0"/>
        <v>0</v>
      </c>
    </row>
    <row r="20" spans="1:7" x14ac:dyDescent="0.25">
      <c r="A20" s="282"/>
      <c r="B20" s="163">
        <v>2101</v>
      </c>
      <c r="C20" s="164" t="s">
        <v>156</v>
      </c>
      <c r="D20" s="165">
        <v>6</v>
      </c>
      <c r="E20" s="166">
        <v>6.5000000000000002E-2</v>
      </c>
      <c r="F20" s="183"/>
      <c r="G20" s="181">
        <f t="shared" si="0"/>
        <v>0</v>
      </c>
    </row>
    <row r="21" spans="1:7" x14ac:dyDescent="0.25">
      <c r="A21" s="282"/>
      <c r="B21" s="163">
        <v>2102</v>
      </c>
      <c r="C21" s="164" t="s">
        <v>159</v>
      </c>
      <c r="D21" s="165">
        <v>6</v>
      </c>
      <c r="E21" s="100">
        <v>9.7500000000000003E-2</v>
      </c>
      <c r="F21" s="184"/>
      <c r="G21" s="181">
        <f t="shared" si="0"/>
        <v>0</v>
      </c>
    </row>
    <row r="22" spans="1:7" x14ac:dyDescent="0.25">
      <c r="A22" s="282"/>
      <c r="B22" s="163">
        <v>2103</v>
      </c>
      <c r="C22" s="164" t="s">
        <v>160</v>
      </c>
      <c r="D22" s="165">
        <v>6</v>
      </c>
      <c r="E22" s="100">
        <v>9.7500000000000003E-2</v>
      </c>
      <c r="F22" s="184"/>
      <c r="G22" s="181">
        <f t="shared" si="0"/>
        <v>0</v>
      </c>
    </row>
    <row r="23" spans="1:7" x14ac:dyDescent="0.25">
      <c r="A23" s="282"/>
      <c r="B23" s="163">
        <v>2104</v>
      </c>
      <c r="C23" s="164" t="s">
        <v>162</v>
      </c>
      <c r="D23" s="165">
        <v>12</v>
      </c>
      <c r="E23" s="166">
        <v>6.5000000000000002E-2</v>
      </c>
      <c r="F23" s="184"/>
      <c r="G23" s="181">
        <f t="shared" si="0"/>
        <v>0</v>
      </c>
    </row>
    <row r="24" spans="1:7" x14ac:dyDescent="0.25">
      <c r="A24" s="282"/>
      <c r="B24" s="163">
        <v>2105</v>
      </c>
      <c r="C24" s="164" t="s">
        <v>161</v>
      </c>
      <c r="D24" s="165">
        <v>6</v>
      </c>
      <c r="E24" s="100">
        <v>9.7500000000000003E-2</v>
      </c>
      <c r="F24" s="184"/>
      <c r="G24" s="181">
        <f t="shared" si="0"/>
        <v>0</v>
      </c>
    </row>
    <row r="25" spans="1:7" x14ac:dyDescent="0.25">
      <c r="A25" s="282"/>
      <c r="B25" s="163">
        <v>2106</v>
      </c>
      <c r="C25" s="164" t="s">
        <v>163</v>
      </c>
      <c r="D25" s="165">
        <v>12</v>
      </c>
      <c r="E25" s="100">
        <v>9.7500000000000003E-2</v>
      </c>
      <c r="F25" s="184"/>
      <c r="G25" s="181">
        <f t="shared" si="0"/>
        <v>0</v>
      </c>
    </row>
    <row r="26" spans="1:7" x14ac:dyDescent="0.25">
      <c r="A26" s="282"/>
      <c r="B26" s="66">
        <v>2139</v>
      </c>
      <c r="C26" s="61" t="s">
        <v>29</v>
      </c>
      <c r="D26" s="86">
        <v>12</v>
      </c>
      <c r="E26" s="100">
        <v>9.7500000000000003E-2</v>
      </c>
      <c r="F26" s="184"/>
      <c r="G26" s="181">
        <f t="shared" si="0"/>
        <v>0</v>
      </c>
    </row>
    <row r="27" spans="1:7" x14ac:dyDescent="0.25">
      <c r="A27" s="282"/>
      <c r="B27" s="66">
        <v>2140</v>
      </c>
      <c r="C27" s="61" t="s">
        <v>30</v>
      </c>
      <c r="D27" s="86">
        <v>24</v>
      </c>
      <c r="E27" s="100">
        <v>9.7500000000000003E-2</v>
      </c>
      <c r="F27" s="184"/>
      <c r="G27" s="181">
        <f t="shared" si="0"/>
        <v>0</v>
      </c>
    </row>
    <row r="28" spans="1:7" x14ac:dyDescent="0.25">
      <c r="A28" s="282"/>
      <c r="B28" s="66">
        <v>2141</v>
      </c>
      <c r="C28" s="61" t="s">
        <v>31</v>
      </c>
      <c r="D28" s="86">
        <v>12</v>
      </c>
      <c r="E28" s="100">
        <v>9.7500000000000003E-2</v>
      </c>
      <c r="F28" s="184"/>
      <c r="G28" s="181">
        <f t="shared" si="0"/>
        <v>0</v>
      </c>
    </row>
    <row r="29" spans="1:7" x14ac:dyDescent="0.25">
      <c r="A29" s="282"/>
      <c r="B29" s="66">
        <v>2142</v>
      </c>
      <c r="C29" s="61" t="s">
        <v>32</v>
      </c>
      <c r="D29" s="86">
        <v>12</v>
      </c>
      <c r="E29" s="100">
        <v>9.7500000000000003E-2</v>
      </c>
      <c r="F29" s="184"/>
      <c r="G29" s="181">
        <f t="shared" si="0"/>
        <v>0</v>
      </c>
    </row>
    <row r="30" spans="1:7" x14ac:dyDescent="0.25">
      <c r="A30" s="282"/>
      <c r="B30" s="66">
        <v>2143</v>
      </c>
      <c r="C30" s="61" t="s">
        <v>33</v>
      </c>
      <c r="D30" s="86">
        <v>12</v>
      </c>
      <c r="E30" s="100">
        <v>9.7500000000000003E-2</v>
      </c>
      <c r="F30" s="184"/>
      <c r="G30" s="181">
        <f t="shared" si="0"/>
        <v>0</v>
      </c>
    </row>
    <row r="31" spans="1:7" x14ac:dyDescent="0.25">
      <c r="A31" s="282"/>
      <c r="B31" s="66">
        <v>2144</v>
      </c>
      <c r="C31" s="61" t="s">
        <v>34</v>
      </c>
      <c r="D31" s="86">
        <v>12</v>
      </c>
      <c r="E31" s="100">
        <v>9.7500000000000003E-2</v>
      </c>
      <c r="F31" s="184"/>
      <c r="G31" s="181">
        <f t="shared" si="0"/>
        <v>0</v>
      </c>
    </row>
    <row r="32" spans="1:7" x14ac:dyDescent="0.25">
      <c r="A32" s="282"/>
      <c r="B32" s="66">
        <v>2145</v>
      </c>
      <c r="C32" s="61" t="s">
        <v>99</v>
      </c>
      <c r="D32" s="86">
        <v>12</v>
      </c>
      <c r="E32" s="100">
        <v>9.7500000000000003E-2</v>
      </c>
      <c r="F32" s="184"/>
      <c r="G32" s="181">
        <f t="shared" si="0"/>
        <v>0</v>
      </c>
    </row>
    <row r="33" spans="1:7" x14ac:dyDescent="0.25">
      <c r="A33" s="282"/>
      <c r="B33" s="66">
        <v>2146</v>
      </c>
      <c r="C33" s="61" t="s">
        <v>35</v>
      </c>
      <c r="D33" s="86">
        <v>12</v>
      </c>
      <c r="E33" s="100">
        <v>9.7500000000000003E-2</v>
      </c>
      <c r="F33" s="184"/>
      <c r="G33" s="181">
        <f t="shared" si="0"/>
        <v>0</v>
      </c>
    </row>
    <row r="34" spans="1:7" x14ac:dyDescent="0.25">
      <c r="A34" s="282"/>
      <c r="B34" s="66">
        <v>2147</v>
      </c>
      <c r="C34" s="61" t="s">
        <v>36</v>
      </c>
      <c r="D34" s="86">
        <v>12</v>
      </c>
      <c r="E34" s="98">
        <v>6.5000000000000002E-2</v>
      </c>
      <c r="F34" s="184"/>
      <c r="G34" s="181">
        <f t="shared" si="0"/>
        <v>0</v>
      </c>
    </row>
    <row r="35" spans="1:7" x14ac:dyDescent="0.25">
      <c r="A35" s="282"/>
      <c r="B35" s="66">
        <v>2148</v>
      </c>
      <c r="C35" s="61" t="s">
        <v>37</v>
      </c>
      <c r="D35" s="86">
        <v>24</v>
      </c>
      <c r="E35" s="98">
        <v>6.5000000000000002E-2</v>
      </c>
      <c r="F35" s="184"/>
      <c r="G35" s="181">
        <f t="shared" si="0"/>
        <v>0</v>
      </c>
    </row>
    <row r="36" spans="1:7" x14ac:dyDescent="0.25">
      <c r="A36" s="282"/>
      <c r="B36" s="66">
        <v>2149</v>
      </c>
      <c r="C36" s="61" t="s">
        <v>38</v>
      </c>
      <c r="D36" s="86">
        <v>24</v>
      </c>
      <c r="E36" s="98">
        <v>6.5000000000000002E-2</v>
      </c>
      <c r="F36" s="184"/>
      <c r="G36" s="181">
        <f t="shared" ref="G36:G65" si="1">F36/1.06</f>
        <v>0</v>
      </c>
    </row>
    <row r="37" spans="1:7" x14ac:dyDescent="0.25">
      <c r="A37" s="282"/>
      <c r="B37" s="66">
        <v>2150</v>
      </c>
      <c r="C37" s="61" t="s">
        <v>39</v>
      </c>
      <c r="D37" s="86">
        <v>12</v>
      </c>
      <c r="E37" s="100">
        <v>9.7500000000000003E-2</v>
      </c>
      <c r="F37" s="184"/>
      <c r="G37" s="181">
        <f t="shared" si="1"/>
        <v>0</v>
      </c>
    </row>
    <row r="38" spans="1:7" x14ac:dyDescent="0.25">
      <c r="A38" s="282"/>
      <c r="B38" s="66">
        <v>2151</v>
      </c>
      <c r="C38" s="61" t="s">
        <v>100</v>
      </c>
      <c r="D38" s="86">
        <v>12</v>
      </c>
      <c r="E38" s="100">
        <v>6.5000000000000002E-2</v>
      </c>
      <c r="F38" s="184"/>
      <c r="G38" s="181">
        <f t="shared" si="1"/>
        <v>0</v>
      </c>
    </row>
    <row r="39" spans="1:7" x14ac:dyDescent="0.25">
      <c r="A39" s="282"/>
      <c r="B39" s="66">
        <v>2513</v>
      </c>
      <c r="C39" s="61" t="s">
        <v>40</v>
      </c>
      <c r="D39" s="86">
        <v>12</v>
      </c>
      <c r="E39" s="98">
        <v>6.5000000000000002E-2</v>
      </c>
      <c r="F39" s="184"/>
      <c r="G39" s="181">
        <f t="shared" si="1"/>
        <v>0</v>
      </c>
    </row>
    <row r="40" spans="1:7" x14ac:dyDescent="0.25">
      <c r="A40" s="282"/>
      <c r="B40" s="66">
        <v>2601</v>
      </c>
      <c r="C40" s="61" t="s">
        <v>41</v>
      </c>
      <c r="D40" s="86">
        <v>12</v>
      </c>
      <c r="E40" s="100">
        <v>9.7500000000000003E-2</v>
      </c>
      <c r="F40" s="184"/>
      <c r="G40" s="181">
        <f t="shared" si="1"/>
        <v>0</v>
      </c>
    </row>
    <row r="41" spans="1:7" x14ac:dyDescent="0.25">
      <c r="A41" s="282"/>
      <c r="B41" s="66">
        <v>2602</v>
      </c>
      <c r="C41" s="61" t="s">
        <v>42</v>
      </c>
      <c r="D41" s="86">
        <v>12</v>
      </c>
      <c r="E41" s="100">
        <v>9.7500000000000003E-2</v>
      </c>
      <c r="F41" s="184"/>
      <c r="G41" s="181">
        <f t="shared" si="1"/>
        <v>0</v>
      </c>
    </row>
    <row r="42" spans="1:7" x14ac:dyDescent="0.25">
      <c r="A42" s="282"/>
      <c r="B42" s="66">
        <v>2701</v>
      </c>
      <c r="C42" s="61" t="s">
        <v>43</v>
      </c>
      <c r="D42" s="86">
        <v>12</v>
      </c>
      <c r="E42" s="100">
        <v>9.7500000000000003E-2</v>
      </c>
      <c r="F42" s="184"/>
      <c r="G42" s="181">
        <f t="shared" si="1"/>
        <v>0</v>
      </c>
    </row>
    <row r="43" spans="1:7" x14ac:dyDescent="0.25">
      <c r="A43" s="282"/>
      <c r="B43" s="66">
        <v>2702</v>
      </c>
      <c r="C43" s="61" t="s">
        <v>44</v>
      </c>
      <c r="D43" s="86">
        <v>12</v>
      </c>
      <c r="E43" s="100">
        <v>9.7500000000000003E-2</v>
      </c>
      <c r="F43" s="184"/>
      <c r="G43" s="181">
        <f t="shared" si="1"/>
        <v>0</v>
      </c>
    </row>
    <row r="44" spans="1:7" x14ac:dyDescent="0.25">
      <c r="A44" s="282"/>
      <c r="B44" s="66">
        <v>2703</v>
      </c>
      <c r="C44" s="61" t="s">
        <v>45</v>
      </c>
      <c r="D44" s="86">
        <v>12</v>
      </c>
      <c r="E44" s="100">
        <v>9.7500000000000003E-2</v>
      </c>
      <c r="F44" s="184"/>
      <c r="G44" s="181">
        <f t="shared" si="1"/>
        <v>0</v>
      </c>
    </row>
    <row r="45" spans="1:7" x14ac:dyDescent="0.25">
      <c r="A45" s="282"/>
      <c r="B45" s="66">
        <v>2750</v>
      </c>
      <c r="C45" s="61" t="s">
        <v>101</v>
      </c>
      <c r="D45" s="86">
        <v>8</v>
      </c>
      <c r="E45" s="98">
        <v>6.5000000000000002E-2</v>
      </c>
      <c r="F45" s="184"/>
      <c r="G45" s="181">
        <f t="shared" si="1"/>
        <v>0</v>
      </c>
    </row>
    <row r="46" spans="1:7" x14ac:dyDescent="0.25">
      <c r="A46" s="282"/>
      <c r="B46" s="66">
        <v>2751</v>
      </c>
      <c r="C46" s="61" t="s">
        <v>46</v>
      </c>
      <c r="D46" s="86">
        <v>12</v>
      </c>
      <c r="E46" s="100">
        <v>9.7500000000000003E-2</v>
      </c>
      <c r="F46" s="184"/>
      <c r="G46" s="181">
        <f t="shared" si="1"/>
        <v>0</v>
      </c>
    </row>
    <row r="47" spans="1:7" x14ac:dyDescent="0.25">
      <c r="A47" s="282"/>
      <c r="B47" s="66">
        <v>2752</v>
      </c>
      <c r="C47" s="61" t="s">
        <v>102</v>
      </c>
      <c r="D47" s="86">
        <v>24</v>
      </c>
      <c r="E47" s="98">
        <v>6.5000000000000002E-2</v>
      </c>
      <c r="F47" s="184"/>
      <c r="G47" s="181">
        <f t="shared" si="1"/>
        <v>0</v>
      </c>
    </row>
    <row r="48" spans="1:7" x14ac:dyDescent="0.25">
      <c r="A48" s="282"/>
      <c r="B48" s="66">
        <v>2753</v>
      </c>
      <c r="C48" s="61" t="s">
        <v>103</v>
      </c>
      <c r="D48" s="86">
        <v>12</v>
      </c>
      <c r="E48" s="98">
        <v>6.5000000000000002E-2</v>
      </c>
      <c r="F48" s="184"/>
      <c r="G48" s="181">
        <f t="shared" si="1"/>
        <v>0</v>
      </c>
    </row>
    <row r="49" spans="1:7" x14ac:dyDescent="0.25">
      <c r="A49" s="282"/>
      <c r="B49" s="66">
        <v>2754</v>
      </c>
      <c r="C49" s="61" t="s">
        <v>104</v>
      </c>
      <c r="D49" s="86">
        <v>36</v>
      </c>
      <c r="E49" s="100">
        <v>9.7500000000000003E-2</v>
      </c>
      <c r="F49" s="184"/>
      <c r="G49" s="181">
        <f t="shared" si="1"/>
        <v>0</v>
      </c>
    </row>
    <row r="50" spans="1:7" x14ac:dyDescent="0.25">
      <c r="A50" s="282"/>
      <c r="B50" s="66">
        <v>2755</v>
      </c>
      <c r="C50" s="61" t="s">
        <v>105</v>
      </c>
      <c r="D50" s="86">
        <v>12</v>
      </c>
      <c r="E50" s="100">
        <v>9.7500000000000003E-2</v>
      </c>
      <c r="F50" s="184"/>
      <c r="G50" s="181">
        <f t="shared" si="1"/>
        <v>0</v>
      </c>
    </row>
    <row r="51" spans="1:7" ht="15.75" thickBot="1" x14ac:dyDescent="0.3">
      <c r="A51" s="282"/>
      <c r="B51" s="66">
        <v>2802</v>
      </c>
      <c r="C51" s="61" t="s">
        <v>47</v>
      </c>
      <c r="D51" s="86">
        <v>6</v>
      </c>
      <c r="E51" s="101">
        <v>9.7500000000000003E-2</v>
      </c>
      <c r="F51" s="184"/>
      <c r="G51" s="181">
        <f t="shared" si="1"/>
        <v>0</v>
      </c>
    </row>
    <row r="52" spans="1:7" x14ac:dyDescent="0.25">
      <c r="A52" s="318" t="s">
        <v>9</v>
      </c>
      <c r="B52" s="78">
        <v>3901</v>
      </c>
      <c r="C52" s="81" t="s">
        <v>48</v>
      </c>
      <c r="D52" s="89">
        <v>12</v>
      </c>
      <c r="E52" s="102">
        <v>6.5000000000000002E-2</v>
      </c>
      <c r="F52" s="135"/>
      <c r="G52" s="142">
        <f t="shared" si="1"/>
        <v>0</v>
      </c>
    </row>
    <row r="53" spans="1:7" x14ac:dyDescent="0.25">
      <c r="A53" s="284"/>
      <c r="B53" s="79">
        <v>3905</v>
      </c>
      <c r="C53" s="70" t="s">
        <v>49</v>
      </c>
      <c r="D53" s="90">
        <v>24</v>
      </c>
      <c r="E53" s="98">
        <v>6.5000000000000002E-2</v>
      </c>
      <c r="F53" s="136"/>
      <c r="G53" s="143">
        <f t="shared" si="1"/>
        <v>0</v>
      </c>
    </row>
    <row r="54" spans="1:7" x14ac:dyDescent="0.25">
      <c r="A54" s="284"/>
      <c r="B54" s="79">
        <v>3907</v>
      </c>
      <c r="C54" s="82" t="s">
        <v>50</v>
      </c>
      <c r="D54" s="91">
        <v>12</v>
      </c>
      <c r="E54" s="98">
        <v>6.5000000000000002E-2</v>
      </c>
      <c r="F54" s="136"/>
      <c r="G54" s="143">
        <f t="shared" si="1"/>
        <v>0</v>
      </c>
    </row>
    <row r="55" spans="1:7" x14ac:dyDescent="0.25">
      <c r="A55" s="284"/>
      <c r="B55" s="79">
        <v>3952</v>
      </c>
      <c r="C55" s="70" t="s">
        <v>51</v>
      </c>
      <c r="D55" s="90">
        <v>6</v>
      </c>
      <c r="E55" s="98">
        <v>6.5000000000000002E-2</v>
      </c>
      <c r="F55" s="136"/>
      <c r="G55" s="143">
        <f t="shared" si="1"/>
        <v>0</v>
      </c>
    </row>
    <row r="56" spans="1:7" x14ac:dyDescent="0.25">
      <c r="A56" s="284"/>
      <c r="B56" s="79">
        <v>3953</v>
      </c>
      <c r="C56" s="70" t="s">
        <v>52</v>
      </c>
      <c r="D56" s="90">
        <v>6</v>
      </c>
      <c r="E56" s="98">
        <v>6.5000000000000002E-2</v>
      </c>
      <c r="F56" s="136"/>
      <c r="G56" s="143">
        <f t="shared" si="1"/>
        <v>0</v>
      </c>
    </row>
    <row r="57" spans="1:7" x14ac:dyDescent="0.25">
      <c r="A57" s="284"/>
      <c r="B57" s="185">
        <v>3954</v>
      </c>
      <c r="C57" s="186" t="s">
        <v>53</v>
      </c>
      <c r="D57" s="90">
        <v>12</v>
      </c>
      <c r="E57" s="98">
        <v>6.5000000000000002E-2</v>
      </c>
      <c r="F57" s="136"/>
      <c r="G57" s="143">
        <f t="shared" si="1"/>
        <v>0</v>
      </c>
    </row>
    <row r="58" spans="1:7" x14ac:dyDescent="0.25">
      <c r="A58" s="284"/>
      <c r="B58" s="185">
        <v>3955</v>
      </c>
      <c r="C58" s="186" t="s">
        <v>164</v>
      </c>
      <c r="D58" s="90">
        <v>12</v>
      </c>
      <c r="E58" s="98">
        <v>6.5000000000000002E-2</v>
      </c>
      <c r="F58" s="136"/>
      <c r="G58" s="143">
        <f t="shared" si="1"/>
        <v>0</v>
      </c>
    </row>
    <row r="59" spans="1:7" x14ac:dyDescent="0.25">
      <c r="A59" s="284"/>
      <c r="B59" s="185">
        <v>3956</v>
      </c>
      <c r="C59" s="186" t="s">
        <v>165</v>
      </c>
      <c r="D59" s="90">
        <v>12</v>
      </c>
      <c r="E59" s="98">
        <v>6.5000000000000002E-2</v>
      </c>
      <c r="F59" s="136"/>
      <c r="G59" s="143">
        <f t="shared" si="1"/>
        <v>0</v>
      </c>
    </row>
    <row r="60" spans="1:7" ht="15.75" thickBot="1" x14ac:dyDescent="0.3">
      <c r="A60" s="286"/>
      <c r="B60" s="80">
        <v>3957</v>
      </c>
      <c r="C60" s="83" t="s">
        <v>166</v>
      </c>
      <c r="D60" s="92">
        <v>9</v>
      </c>
      <c r="E60" s="103">
        <v>6.5000000000000002E-2</v>
      </c>
      <c r="F60" s="137"/>
      <c r="G60" s="144">
        <f t="shared" si="1"/>
        <v>0</v>
      </c>
    </row>
    <row r="61" spans="1:7" x14ac:dyDescent="0.25">
      <c r="A61" s="287" t="s">
        <v>10</v>
      </c>
      <c r="B61" s="65">
        <v>4000</v>
      </c>
      <c r="C61" s="71" t="s">
        <v>167</v>
      </c>
      <c r="D61" s="85">
        <v>12</v>
      </c>
      <c r="E61" s="97">
        <v>6.5000000000000002E-2</v>
      </c>
      <c r="F61" s="135"/>
      <c r="G61" s="142">
        <f t="shared" si="1"/>
        <v>0</v>
      </c>
    </row>
    <row r="62" spans="1:7" x14ac:dyDescent="0.25">
      <c r="A62" s="288"/>
      <c r="B62" s="187">
        <v>4001</v>
      </c>
      <c r="C62" s="188" t="s">
        <v>54</v>
      </c>
      <c r="D62" s="189">
        <v>24</v>
      </c>
      <c r="E62" s="166">
        <v>6.5000000000000002E-2</v>
      </c>
      <c r="F62" s="136"/>
      <c r="G62" s="143">
        <f t="shared" si="1"/>
        <v>0</v>
      </c>
    </row>
    <row r="63" spans="1:7" x14ac:dyDescent="0.25">
      <c r="A63" s="288"/>
      <c r="B63" s="66">
        <v>4002</v>
      </c>
      <c r="C63" s="61" t="s">
        <v>55</v>
      </c>
      <c r="D63" s="86">
        <v>12</v>
      </c>
      <c r="E63" s="98">
        <v>6.5000000000000002E-2</v>
      </c>
      <c r="F63" s="136"/>
      <c r="G63" s="143">
        <f t="shared" si="1"/>
        <v>0</v>
      </c>
    </row>
    <row r="64" spans="1:7" x14ac:dyDescent="0.25">
      <c r="A64" s="288"/>
      <c r="B64" s="66">
        <v>4003</v>
      </c>
      <c r="C64" s="61" t="s">
        <v>56</v>
      </c>
      <c r="D64" s="86">
        <v>12</v>
      </c>
      <c r="E64" s="98">
        <v>6.5000000000000002E-2</v>
      </c>
      <c r="F64" s="136"/>
      <c r="G64" s="143"/>
    </row>
    <row r="65" spans="1:7" x14ac:dyDescent="0.25">
      <c r="A65" s="288"/>
      <c r="B65" s="66">
        <v>4013</v>
      </c>
      <c r="C65" s="61" t="s">
        <v>57</v>
      </c>
      <c r="D65" s="86">
        <v>24</v>
      </c>
      <c r="E65" s="98">
        <v>6.5000000000000002E-2</v>
      </c>
      <c r="F65" s="136"/>
      <c r="G65" s="143">
        <f t="shared" si="1"/>
        <v>0</v>
      </c>
    </row>
    <row r="66" spans="1:7" x14ac:dyDescent="0.25">
      <c r="A66" s="288"/>
      <c r="B66" s="66">
        <v>4016</v>
      </c>
      <c r="C66" s="61" t="s">
        <v>58</v>
      </c>
      <c r="D66" s="86">
        <v>12</v>
      </c>
      <c r="E66" s="98">
        <v>6.5000000000000002E-2</v>
      </c>
      <c r="F66" s="136"/>
      <c r="G66" s="143">
        <f t="shared" ref="G66:G97" si="2">F66/1.06</f>
        <v>0</v>
      </c>
    </row>
    <row r="67" spans="1:7" x14ac:dyDescent="0.25">
      <c r="A67" s="288"/>
      <c r="B67" s="66">
        <v>4017</v>
      </c>
      <c r="C67" s="61" t="s">
        <v>59</v>
      </c>
      <c r="D67" s="86">
        <v>12</v>
      </c>
      <c r="E67" s="98">
        <v>6.5000000000000002E-2</v>
      </c>
      <c r="F67" s="136"/>
      <c r="G67" s="143">
        <f t="shared" si="2"/>
        <v>0</v>
      </c>
    </row>
    <row r="68" spans="1:7" x14ac:dyDescent="0.25">
      <c r="A68" s="288"/>
      <c r="B68" s="66">
        <v>4019</v>
      </c>
      <c r="C68" s="61" t="s">
        <v>60</v>
      </c>
      <c r="D68" s="86">
        <v>6</v>
      </c>
      <c r="E68" s="98">
        <v>6.5000000000000002E-2</v>
      </c>
      <c r="F68" s="136"/>
      <c r="G68" s="143">
        <f t="shared" si="2"/>
        <v>0</v>
      </c>
    </row>
    <row r="69" spans="1:7" x14ac:dyDescent="0.25">
      <c r="A69" s="288"/>
      <c r="B69" s="66">
        <v>4020</v>
      </c>
      <c r="C69" s="61" t="s">
        <v>61</v>
      </c>
      <c r="D69" s="86">
        <v>24</v>
      </c>
      <c r="E69" s="98">
        <v>6.5000000000000002E-2</v>
      </c>
      <c r="F69" s="136"/>
      <c r="G69" s="143">
        <f t="shared" si="2"/>
        <v>0</v>
      </c>
    </row>
    <row r="70" spans="1:7" x14ac:dyDescent="0.25">
      <c r="A70" s="288"/>
      <c r="B70" s="66">
        <v>4029</v>
      </c>
      <c r="C70" s="61" t="s">
        <v>62</v>
      </c>
      <c r="D70" s="86">
        <v>12</v>
      </c>
      <c r="E70" s="98">
        <v>6.5000000000000002E-2</v>
      </c>
      <c r="F70" s="136"/>
      <c r="G70" s="143">
        <f t="shared" si="2"/>
        <v>0</v>
      </c>
    </row>
    <row r="71" spans="1:7" x14ac:dyDescent="0.25">
      <c r="A71" s="288"/>
      <c r="B71" s="66">
        <v>4030</v>
      </c>
      <c r="C71" s="61" t="s">
        <v>63</v>
      </c>
      <c r="D71" s="86">
        <v>9</v>
      </c>
      <c r="E71" s="98">
        <v>6.5000000000000002E-2</v>
      </c>
      <c r="F71" s="136"/>
      <c r="G71" s="143">
        <f t="shared" si="2"/>
        <v>0</v>
      </c>
    </row>
    <row r="72" spans="1:7" x14ac:dyDescent="0.25">
      <c r="A72" s="288"/>
      <c r="B72" s="66">
        <v>4033</v>
      </c>
      <c r="C72" s="61" t="s">
        <v>64</v>
      </c>
      <c r="D72" s="86">
        <v>12</v>
      </c>
      <c r="E72" s="98">
        <v>6.5000000000000002E-2</v>
      </c>
      <c r="F72" s="136"/>
      <c r="G72" s="143">
        <f t="shared" si="2"/>
        <v>0</v>
      </c>
    </row>
    <row r="73" spans="1:7" x14ac:dyDescent="0.25">
      <c r="A73" s="288"/>
      <c r="B73" s="66">
        <v>4035</v>
      </c>
      <c r="C73" s="61" t="s">
        <v>65</v>
      </c>
      <c r="D73" s="86">
        <v>9</v>
      </c>
      <c r="E73" s="98">
        <v>6.5000000000000002E-2</v>
      </c>
      <c r="F73" s="136"/>
      <c r="G73" s="143">
        <f t="shared" si="2"/>
        <v>0</v>
      </c>
    </row>
    <row r="74" spans="1:7" x14ac:dyDescent="0.25">
      <c r="A74" s="288"/>
      <c r="B74" s="66">
        <v>4037</v>
      </c>
      <c r="C74" s="61" t="s">
        <v>66</v>
      </c>
      <c r="D74" s="86">
        <v>12</v>
      </c>
      <c r="E74" s="98">
        <v>6.5000000000000002E-2</v>
      </c>
      <c r="F74" s="136"/>
      <c r="G74" s="143">
        <f t="shared" si="2"/>
        <v>0</v>
      </c>
    </row>
    <row r="75" spans="1:7" x14ac:dyDescent="0.25">
      <c r="A75" s="288"/>
      <c r="B75" s="66">
        <v>4038</v>
      </c>
      <c r="C75" s="61" t="s">
        <v>67</v>
      </c>
      <c r="D75" s="86">
        <v>12</v>
      </c>
      <c r="E75" s="98">
        <v>6.5000000000000002E-2</v>
      </c>
      <c r="F75" s="136"/>
      <c r="G75" s="143"/>
    </row>
    <row r="76" spans="1:7" x14ac:dyDescent="0.25">
      <c r="A76" s="288"/>
      <c r="B76" s="66">
        <v>4039</v>
      </c>
      <c r="C76" s="61" t="s">
        <v>68</v>
      </c>
      <c r="D76" s="86">
        <v>12</v>
      </c>
      <c r="E76" s="98">
        <v>6.5000000000000002E-2</v>
      </c>
      <c r="F76" s="136"/>
      <c r="G76" s="143">
        <f t="shared" si="2"/>
        <v>0</v>
      </c>
    </row>
    <row r="77" spans="1:7" x14ac:dyDescent="0.25">
      <c r="A77" s="288"/>
      <c r="B77" s="66">
        <v>4042</v>
      </c>
      <c r="C77" s="61" t="s">
        <v>69</v>
      </c>
      <c r="D77" s="86">
        <v>6</v>
      </c>
      <c r="E77" s="98">
        <v>6.5000000000000002E-2</v>
      </c>
      <c r="F77" s="136"/>
      <c r="G77" s="143">
        <f t="shared" si="2"/>
        <v>0</v>
      </c>
    </row>
    <row r="78" spans="1:7" x14ac:dyDescent="0.25">
      <c r="A78" s="288"/>
      <c r="B78" s="66">
        <v>4043</v>
      </c>
      <c r="C78" s="61" t="s">
        <v>70</v>
      </c>
      <c r="D78" s="86">
        <v>6</v>
      </c>
      <c r="E78" s="98">
        <v>6.5000000000000002E-2</v>
      </c>
      <c r="F78" s="136"/>
      <c r="G78" s="143">
        <f t="shared" si="2"/>
        <v>0</v>
      </c>
    </row>
    <row r="79" spans="1:7" x14ac:dyDescent="0.25">
      <c r="A79" s="288"/>
      <c r="B79" s="66">
        <v>4044</v>
      </c>
      <c r="C79" s="61" t="s">
        <v>71</v>
      </c>
      <c r="D79" s="86">
        <v>6</v>
      </c>
      <c r="E79" s="98">
        <v>6.5000000000000002E-2</v>
      </c>
      <c r="F79" s="136"/>
      <c r="G79" s="143">
        <f t="shared" si="2"/>
        <v>0</v>
      </c>
    </row>
    <row r="80" spans="1:7" x14ac:dyDescent="0.25">
      <c r="A80" s="288"/>
      <c r="B80" s="66">
        <v>4045</v>
      </c>
      <c r="C80" s="61" t="s">
        <v>72</v>
      </c>
      <c r="D80" s="86">
        <v>6</v>
      </c>
      <c r="E80" s="98">
        <v>6.5000000000000002E-2</v>
      </c>
      <c r="F80" s="136"/>
      <c r="G80" s="143">
        <f t="shared" si="2"/>
        <v>0</v>
      </c>
    </row>
    <row r="81" spans="1:7" x14ac:dyDescent="0.25">
      <c r="A81" s="288"/>
      <c r="B81" s="66">
        <v>4046</v>
      </c>
      <c r="C81" s="61" t="s">
        <v>73</v>
      </c>
      <c r="D81" s="86">
        <v>12</v>
      </c>
      <c r="E81" s="98">
        <v>6.5000000000000002E-2</v>
      </c>
      <c r="F81" s="136"/>
      <c r="G81" s="143">
        <f t="shared" si="2"/>
        <v>0</v>
      </c>
    </row>
    <row r="82" spans="1:7" x14ac:dyDescent="0.25">
      <c r="A82" s="288"/>
      <c r="B82" s="66">
        <v>4047</v>
      </c>
      <c r="C82" s="61" t="s">
        <v>74</v>
      </c>
      <c r="D82" s="86">
        <v>12</v>
      </c>
      <c r="E82" s="98">
        <v>6.5000000000000002E-2</v>
      </c>
      <c r="F82" s="136"/>
      <c r="G82" s="143">
        <f t="shared" si="2"/>
        <v>0</v>
      </c>
    </row>
    <row r="83" spans="1:7" x14ac:dyDescent="0.25">
      <c r="A83" s="288"/>
      <c r="B83" s="66">
        <v>4048</v>
      </c>
      <c r="C83" s="61" t="s">
        <v>75</v>
      </c>
      <c r="D83" s="86">
        <v>12</v>
      </c>
      <c r="E83" s="98">
        <v>6.5000000000000002E-2</v>
      </c>
      <c r="F83" s="136"/>
      <c r="G83" s="143">
        <f t="shared" si="2"/>
        <v>0</v>
      </c>
    </row>
    <row r="84" spans="1:7" x14ac:dyDescent="0.25">
      <c r="A84" s="288"/>
      <c r="B84" s="66">
        <v>4049</v>
      </c>
      <c r="C84" s="61" t="s">
        <v>76</v>
      </c>
      <c r="D84" s="86">
        <v>12</v>
      </c>
      <c r="E84" s="98">
        <v>6.5000000000000002E-2</v>
      </c>
      <c r="F84" s="136"/>
      <c r="G84" s="143">
        <f t="shared" si="2"/>
        <v>0</v>
      </c>
    </row>
    <row r="85" spans="1:7" x14ac:dyDescent="0.25">
      <c r="A85" s="288"/>
      <c r="B85" s="66">
        <v>4050</v>
      </c>
      <c r="C85" s="61" t="s">
        <v>77</v>
      </c>
      <c r="D85" s="86">
        <v>12</v>
      </c>
      <c r="E85" s="98">
        <v>6.5000000000000002E-2</v>
      </c>
      <c r="F85" s="136"/>
      <c r="G85" s="143">
        <f t="shared" si="2"/>
        <v>0</v>
      </c>
    </row>
    <row r="86" spans="1:7" x14ac:dyDescent="0.25">
      <c r="A86" s="288"/>
      <c r="B86" s="66">
        <v>4051</v>
      </c>
      <c r="C86" s="61" t="s">
        <v>78</v>
      </c>
      <c r="D86" s="86">
        <v>12</v>
      </c>
      <c r="E86" s="98">
        <v>6.5000000000000002E-2</v>
      </c>
      <c r="F86" s="136"/>
      <c r="G86" s="143">
        <f t="shared" si="2"/>
        <v>0</v>
      </c>
    </row>
    <row r="87" spans="1:7" x14ac:dyDescent="0.25">
      <c r="A87" s="288"/>
      <c r="B87" s="66">
        <v>4052</v>
      </c>
      <c r="C87" s="61" t="s">
        <v>79</v>
      </c>
      <c r="D87" s="86">
        <v>12</v>
      </c>
      <c r="E87" s="98">
        <v>6.5000000000000002E-2</v>
      </c>
      <c r="F87" s="136"/>
      <c r="G87" s="143">
        <f t="shared" si="2"/>
        <v>0</v>
      </c>
    </row>
    <row r="88" spans="1:7" x14ac:dyDescent="0.25">
      <c r="A88" s="288"/>
      <c r="B88" s="66">
        <v>4054</v>
      </c>
      <c r="C88" s="61" t="s">
        <v>80</v>
      </c>
      <c r="D88" s="86">
        <v>12</v>
      </c>
      <c r="E88" s="98">
        <v>6.5000000000000002E-2</v>
      </c>
      <c r="F88" s="136"/>
      <c r="G88" s="143">
        <f t="shared" si="2"/>
        <v>0</v>
      </c>
    </row>
    <row r="89" spans="1:7" x14ac:dyDescent="0.25">
      <c r="A89" s="288"/>
      <c r="B89" s="66">
        <v>4055</v>
      </c>
      <c r="C89" s="61" t="s">
        <v>81</v>
      </c>
      <c r="D89" s="86">
        <v>12</v>
      </c>
      <c r="E89" s="98">
        <v>6.5000000000000002E-2</v>
      </c>
      <c r="F89" s="136"/>
      <c r="G89" s="143">
        <f t="shared" si="2"/>
        <v>0</v>
      </c>
    </row>
    <row r="90" spans="1:7" x14ac:dyDescent="0.25">
      <c r="A90" s="288"/>
      <c r="B90" s="66">
        <v>4056</v>
      </c>
      <c r="C90" s="61" t="s">
        <v>82</v>
      </c>
      <c r="D90" s="86">
        <v>24</v>
      </c>
      <c r="E90" s="100">
        <v>3.2500000000000001E-2</v>
      </c>
      <c r="F90" s="136"/>
      <c r="G90" s="143">
        <f t="shared" si="2"/>
        <v>0</v>
      </c>
    </row>
    <row r="91" spans="1:7" x14ac:dyDescent="0.25">
      <c r="A91" s="288"/>
      <c r="B91" s="66">
        <v>4057</v>
      </c>
      <c r="C91" s="61" t="s">
        <v>83</v>
      </c>
      <c r="D91" s="86">
        <v>12</v>
      </c>
      <c r="E91" s="98">
        <v>6.5000000000000002E-2</v>
      </c>
      <c r="F91" s="136"/>
      <c r="G91" s="143">
        <f t="shared" si="2"/>
        <v>0</v>
      </c>
    </row>
    <row r="92" spans="1:7" x14ac:dyDescent="0.25">
      <c r="A92" s="288"/>
      <c r="B92" s="66">
        <v>4058</v>
      </c>
      <c r="C92" s="61" t="s">
        <v>106</v>
      </c>
      <c r="D92" s="86">
        <v>12</v>
      </c>
      <c r="E92" s="98">
        <v>6.5000000000000002E-2</v>
      </c>
      <c r="F92" s="136"/>
      <c r="G92" s="143">
        <f t="shared" si="2"/>
        <v>0</v>
      </c>
    </row>
    <row r="93" spans="1:7" x14ac:dyDescent="0.25">
      <c r="A93" s="288"/>
      <c r="B93" s="66">
        <v>4059</v>
      </c>
      <c r="C93" s="61" t="s">
        <v>94</v>
      </c>
      <c r="D93" s="86">
        <v>24</v>
      </c>
      <c r="E93" s="100">
        <v>3.2500000000000001E-2</v>
      </c>
      <c r="F93" s="136"/>
      <c r="G93" s="143">
        <f t="shared" si="2"/>
        <v>0</v>
      </c>
    </row>
    <row r="94" spans="1:7" x14ac:dyDescent="0.25">
      <c r="A94" s="288"/>
      <c r="B94" s="66">
        <v>4060</v>
      </c>
      <c r="C94" s="61" t="s">
        <v>107</v>
      </c>
      <c r="D94" s="86">
        <v>24</v>
      </c>
      <c r="E94" s="100">
        <v>3.2500000000000001E-2</v>
      </c>
      <c r="F94" s="136"/>
      <c r="G94" s="143">
        <f t="shared" si="2"/>
        <v>0</v>
      </c>
    </row>
    <row r="95" spans="1:7" x14ac:dyDescent="0.25">
      <c r="A95" s="288"/>
      <c r="B95" s="66">
        <v>4061</v>
      </c>
      <c r="C95" s="61" t="s">
        <v>108</v>
      </c>
      <c r="D95" s="86">
        <v>12</v>
      </c>
      <c r="E95" s="100">
        <v>3.2500000000000001E-2</v>
      </c>
      <c r="F95" s="136"/>
      <c r="G95" s="143">
        <f t="shared" si="2"/>
        <v>0</v>
      </c>
    </row>
    <row r="96" spans="1:7" x14ac:dyDescent="0.25">
      <c r="A96" s="288"/>
      <c r="B96" s="66">
        <v>4063</v>
      </c>
      <c r="C96" s="61" t="s">
        <v>109</v>
      </c>
      <c r="D96" s="86">
        <v>12</v>
      </c>
      <c r="E96" s="98">
        <v>6.5000000000000002E-2</v>
      </c>
      <c r="F96" s="136"/>
      <c r="G96" s="143">
        <f t="shared" si="2"/>
        <v>0</v>
      </c>
    </row>
    <row r="97" spans="1:9" x14ac:dyDescent="0.25">
      <c r="A97" s="288"/>
      <c r="B97" s="66">
        <v>6007</v>
      </c>
      <c r="C97" s="61" t="s">
        <v>84</v>
      </c>
      <c r="D97" s="86">
        <v>24</v>
      </c>
      <c r="E97" s="98">
        <v>6.5000000000000002E-2</v>
      </c>
      <c r="F97" s="136"/>
      <c r="G97" s="143">
        <f t="shared" si="2"/>
        <v>0</v>
      </c>
    </row>
    <row r="98" spans="1:9" x14ac:dyDescent="0.25">
      <c r="A98" s="288"/>
      <c r="B98" s="66">
        <v>6009</v>
      </c>
      <c r="C98" s="61" t="s">
        <v>85</v>
      </c>
      <c r="D98" s="86">
        <v>12</v>
      </c>
      <c r="E98" s="98">
        <v>6.5000000000000002E-2</v>
      </c>
      <c r="F98" s="136"/>
      <c r="G98" s="143">
        <f t="shared" ref="G98:G106" si="3">F98/1.06</f>
        <v>0</v>
      </c>
    </row>
    <row r="99" spans="1:9" ht="15.75" thickBot="1" x14ac:dyDescent="0.3">
      <c r="A99" s="288"/>
      <c r="B99" s="67">
        <v>6011</v>
      </c>
      <c r="C99" s="64" t="s">
        <v>86</v>
      </c>
      <c r="D99" s="87">
        <v>24</v>
      </c>
      <c r="E99" s="99">
        <v>6.5000000000000002E-2</v>
      </c>
      <c r="F99" s="136"/>
      <c r="G99" s="143">
        <f t="shared" si="3"/>
        <v>0</v>
      </c>
    </row>
    <row r="100" spans="1:9" x14ac:dyDescent="0.25">
      <c r="A100" s="280" t="s">
        <v>11</v>
      </c>
      <c r="B100" s="65">
        <v>8001</v>
      </c>
      <c r="C100" s="75" t="s">
        <v>87</v>
      </c>
      <c r="D100" s="93">
        <v>9</v>
      </c>
      <c r="E100" s="97">
        <v>6.5000000000000002E-2</v>
      </c>
      <c r="F100" s="135"/>
      <c r="G100" s="142">
        <f t="shared" si="3"/>
        <v>0</v>
      </c>
    </row>
    <row r="101" spans="1:9" x14ac:dyDescent="0.25">
      <c r="A101" s="280"/>
      <c r="B101" s="66">
        <v>8002</v>
      </c>
      <c r="C101" s="70" t="s">
        <v>88</v>
      </c>
      <c r="D101" s="94">
        <v>6</v>
      </c>
      <c r="E101" s="98">
        <v>6.5000000000000002E-2</v>
      </c>
      <c r="F101" s="136"/>
      <c r="G101" s="143">
        <f t="shared" si="3"/>
        <v>0</v>
      </c>
    </row>
    <row r="102" spans="1:9" x14ac:dyDescent="0.25">
      <c r="A102" s="280"/>
      <c r="B102" s="66">
        <v>8003</v>
      </c>
      <c r="C102" s="70" t="s">
        <v>89</v>
      </c>
      <c r="D102" s="90">
        <v>6</v>
      </c>
      <c r="E102" s="98">
        <v>6.5000000000000002E-2</v>
      </c>
      <c r="F102" s="136"/>
      <c r="G102" s="143">
        <f t="shared" si="3"/>
        <v>0</v>
      </c>
    </row>
    <row r="103" spans="1:9" x14ac:dyDescent="0.25">
      <c r="A103" s="280"/>
      <c r="B103" s="66">
        <v>8004</v>
      </c>
      <c r="C103" s="70" t="s">
        <v>90</v>
      </c>
      <c r="D103" s="90">
        <v>12</v>
      </c>
      <c r="E103" s="98">
        <v>6.5000000000000002E-2</v>
      </c>
      <c r="F103" s="136"/>
      <c r="G103" s="143">
        <f t="shared" ref="G103" si="4">F103/1.06</f>
        <v>0</v>
      </c>
    </row>
    <row r="104" spans="1:9" x14ac:dyDescent="0.25">
      <c r="A104" s="280"/>
      <c r="B104" s="66">
        <v>8011</v>
      </c>
      <c r="C104" s="70" t="s">
        <v>91</v>
      </c>
      <c r="D104" s="90">
        <v>12</v>
      </c>
      <c r="E104" s="98">
        <v>6.5000000000000002E-2</v>
      </c>
      <c r="F104" s="136"/>
      <c r="G104" s="143">
        <f t="shared" si="3"/>
        <v>0</v>
      </c>
    </row>
    <row r="105" spans="1:9" x14ac:dyDescent="0.25">
      <c r="A105" s="280"/>
      <c r="B105" s="66">
        <v>8012</v>
      </c>
      <c r="C105" s="70" t="s">
        <v>110</v>
      </c>
      <c r="D105" s="90">
        <v>12</v>
      </c>
      <c r="E105" s="98">
        <v>6.5000000000000002E-2</v>
      </c>
      <c r="F105" s="136"/>
      <c r="G105" s="143">
        <f t="shared" si="3"/>
        <v>0</v>
      </c>
    </row>
    <row r="106" spans="1:9" ht="15.75" thickBot="1" x14ac:dyDescent="0.3">
      <c r="A106" s="290"/>
      <c r="B106" s="76">
        <v>8013</v>
      </c>
      <c r="C106" s="77" t="s">
        <v>168</v>
      </c>
      <c r="D106" s="95">
        <v>12</v>
      </c>
      <c r="E106" s="104">
        <v>6.5000000000000002E-2</v>
      </c>
      <c r="F106" s="138"/>
      <c r="G106" s="144">
        <f t="shared" si="3"/>
        <v>0</v>
      </c>
    </row>
    <row r="107" spans="1:9" ht="15.75" thickBot="1" x14ac:dyDescent="0.3">
      <c r="A107" s="12"/>
      <c r="B107" s="13"/>
      <c r="C107" s="14"/>
      <c r="D107" s="13"/>
      <c r="E107" s="15"/>
      <c r="F107" s="16"/>
      <c r="G107" s="16"/>
    </row>
    <row r="108" spans="1:9" ht="15.75" thickBot="1" x14ac:dyDescent="0.3">
      <c r="A108" s="132" t="s">
        <v>111</v>
      </c>
      <c r="B108" s="20"/>
      <c r="C108" s="20"/>
      <c r="D108" s="20"/>
      <c r="E108" s="20"/>
      <c r="F108" s="20"/>
      <c r="G108" s="20"/>
      <c r="H108" s="20"/>
      <c r="I108" s="21"/>
    </row>
    <row r="109" spans="1:9" ht="15.75" thickBot="1" x14ac:dyDescent="0.3">
      <c r="A109" s="297" t="s">
        <v>151</v>
      </c>
      <c r="B109" s="298"/>
      <c r="C109" s="298"/>
      <c r="D109" s="298"/>
      <c r="E109" s="298"/>
      <c r="F109" s="298"/>
      <c r="G109" s="298"/>
      <c r="H109" s="298"/>
      <c r="I109" s="299"/>
    </row>
    <row r="110" spans="1:9" ht="15.75" thickBot="1" x14ac:dyDescent="0.3">
      <c r="A110" s="125" t="s">
        <v>112</v>
      </c>
      <c r="B110" s="126"/>
      <c r="C110" s="126"/>
      <c r="D110" s="126"/>
      <c r="E110" s="126"/>
      <c r="F110" s="126"/>
      <c r="G110" s="126"/>
      <c r="H110" s="126"/>
      <c r="I110" s="127"/>
    </row>
    <row r="111" spans="1:9" x14ac:dyDescent="0.25">
      <c r="A111" s="319" t="s">
        <v>113</v>
      </c>
      <c r="B111" s="320"/>
      <c r="C111" s="320"/>
      <c r="D111" s="320"/>
      <c r="E111" s="320"/>
      <c r="F111" s="320"/>
      <c r="G111" s="320"/>
      <c r="H111" s="320"/>
      <c r="I111" s="321"/>
    </row>
    <row r="112" spans="1:9" x14ac:dyDescent="0.25">
      <c r="A112" s="294" t="s">
        <v>147</v>
      </c>
      <c r="B112" s="295"/>
      <c r="C112" s="295"/>
      <c r="D112" s="295"/>
      <c r="E112" s="295"/>
      <c r="F112" s="295"/>
      <c r="G112" s="295"/>
      <c r="H112" s="295"/>
      <c r="I112" s="296"/>
    </row>
    <row r="113" spans="1:9" x14ac:dyDescent="0.25">
      <c r="A113" s="294" t="s">
        <v>148</v>
      </c>
      <c r="B113" s="295"/>
      <c r="C113" s="295"/>
      <c r="D113" s="295"/>
      <c r="E113" s="295"/>
      <c r="F113" s="295"/>
      <c r="G113" s="295"/>
      <c r="H113" s="295"/>
      <c r="I113" s="296"/>
    </row>
    <row r="114" spans="1:9" x14ac:dyDescent="0.25">
      <c r="A114" s="122" t="s">
        <v>149</v>
      </c>
      <c r="B114" s="123"/>
      <c r="C114" s="105"/>
      <c r="D114" s="105"/>
      <c r="E114" s="105"/>
      <c r="F114" s="105"/>
      <c r="G114" s="105"/>
      <c r="H114" s="105"/>
      <c r="I114" s="133"/>
    </row>
    <row r="115" spans="1:9" ht="15.75" thickBot="1" x14ac:dyDescent="0.3">
      <c r="A115" s="124" t="s">
        <v>117</v>
      </c>
      <c r="B115" s="22"/>
      <c r="C115" s="22"/>
      <c r="D115" s="22"/>
      <c r="E115" s="22"/>
      <c r="F115" s="22"/>
      <c r="G115" s="22"/>
      <c r="H115" s="22"/>
      <c r="I115" s="23"/>
    </row>
    <row r="116" spans="1:9" ht="15.75" thickBot="1" x14ac:dyDescent="0.3">
      <c r="A116" s="145" t="s">
        <v>118</v>
      </c>
      <c r="B116" s="146"/>
      <c r="C116" s="146"/>
      <c r="D116" s="146"/>
      <c r="E116" s="146"/>
      <c r="F116" s="146"/>
      <c r="G116" s="146"/>
      <c r="H116" s="146"/>
      <c r="I116" s="151"/>
    </row>
    <row r="117" spans="1:9" x14ac:dyDescent="0.25">
      <c r="A117" s="6" t="s">
        <v>119</v>
      </c>
      <c r="B117" s="152"/>
      <c r="C117" s="152"/>
      <c r="D117" s="152"/>
      <c r="E117" s="152"/>
      <c r="F117" s="152"/>
      <c r="G117" s="152"/>
      <c r="H117" s="152"/>
      <c r="I117" s="153"/>
    </row>
    <row r="118" spans="1:9" x14ac:dyDescent="0.25">
      <c r="A118" s="303" t="s">
        <v>120</v>
      </c>
      <c r="B118" s="304"/>
      <c r="C118" s="304"/>
      <c r="D118" s="304"/>
      <c r="E118" s="304"/>
      <c r="F118" s="304"/>
      <c r="G118" s="304"/>
      <c r="H118" s="304"/>
      <c r="I118" s="305"/>
    </row>
    <row r="119" spans="1:9" x14ac:dyDescent="0.25">
      <c r="A119" s="303" t="s">
        <v>121</v>
      </c>
      <c r="B119" s="304"/>
      <c r="C119" s="304"/>
      <c r="D119" s="304"/>
      <c r="E119" s="304"/>
      <c r="F119" s="304"/>
      <c r="G119" s="304"/>
      <c r="H119" s="304"/>
      <c r="I119" s="305"/>
    </row>
    <row r="120" spans="1:9" x14ac:dyDescent="0.25">
      <c r="A120" s="148" t="s">
        <v>122</v>
      </c>
      <c r="B120" s="147"/>
      <c r="C120" s="147"/>
      <c r="D120" s="147"/>
      <c r="E120" s="147"/>
      <c r="F120" s="147"/>
      <c r="G120" s="147"/>
      <c r="H120" s="147"/>
      <c r="I120" s="154"/>
    </row>
    <row r="121" spans="1:9" x14ac:dyDescent="0.25">
      <c r="A121" s="322" t="s">
        <v>123</v>
      </c>
      <c r="B121" s="323"/>
      <c r="C121" s="323"/>
      <c r="D121" s="323"/>
      <c r="E121" s="323"/>
      <c r="F121" s="323"/>
      <c r="G121" s="323"/>
      <c r="H121" s="323"/>
      <c r="I121" s="324"/>
    </row>
    <row r="122" spans="1:9" ht="15.75" thickBot="1" x14ac:dyDescent="0.3">
      <c r="A122" s="149" t="s">
        <v>124</v>
      </c>
      <c r="B122" s="150"/>
      <c r="C122" s="150"/>
      <c r="D122" s="150"/>
      <c r="E122" s="150"/>
      <c r="F122" s="150"/>
      <c r="G122" s="150"/>
      <c r="H122" s="150"/>
      <c r="I122" s="155"/>
    </row>
    <row r="123" spans="1:9" ht="15.75" thickBot="1" x14ac:dyDescent="0.3">
      <c r="A123" s="253" t="s">
        <v>125</v>
      </c>
      <c r="B123" s="254"/>
      <c r="C123" s="254"/>
      <c r="D123" s="254"/>
      <c r="E123" s="254"/>
      <c r="F123" s="254"/>
      <c r="G123" s="254"/>
      <c r="H123" s="254"/>
      <c r="I123" s="255"/>
    </row>
    <row r="124" spans="1:9" x14ac:dyDescent="0.25">
      <c r="A124" s="294" t="s">
        <v>126</v>
      </c>
      <c r="B124" s="295"/>
      <c r="C124" s="295"/>
      <c r="D124" s="295"/>
      <c r="E124" s="295"/>
      <c r="F124" s="295"/>
      <c r="G124" s="295"/>
      <c r="H124" s="295"/>
      <c r="I124" s="296"/>
    </row>
    <row r="125" spans="1:9" x14ac:dyDescent="0.25">
      <c r="A125" s="129" t="s">
        <v>127</v>
      </c>
      <c r="B125" s="130"/>
      <c r="C125" s="130"/>
      <c r="D125" s="130"/>
      <c r="E125" s="130"/>
      <c r="F125" s="130"/>
      <c r="G125" s="130"/>
      <c r="H125" s="130"/>
      <c r="I125" s="131"/>
    </row>
    <row r="126" spans="1:9" x14ac:dyDescent="0.25">
      <c r="A126" s="129" t="s">
        <v>128</v>
      </c>
      <c r="B126" s="130"/>
      <c r="C126" s="130"/>
      <c r="D126" s="130"/>
      <c r="E126" s="130"/>
      <c r="F126" s="130"/>
      <c r="G126" s="130"/>
      <c r="H126" s="130"/>
      <c r="I126" s="131"/>
    </row>
    <row r="127" spans="1:9" ht="15.75" thickBot="1" x14ac:dyDescent="0.3">
      <c r="A127" s="309" t="s">
        <v>129</v>
      </c>
      <c r="B127" s="310"/>
      <c r="C127" s="310"/>
      <c r="D127" s="310"/>
      <c r="E127" s="310"/>
      <c r="F127" s="310"/>
      <c r="G127" s="310"/>
      <c r="H127" s="310"/>
      <c r="I127" s="311"/>
    </row>
    <row r="128" spans="1:9" ht="15.75" thickBot="1" x14ac:dyDescent="0.3">
      <c r="A128" s="297" t="s">
        <v>130</v>
      </c>
      <c r="B128" s="298"/>
      <c r="C128" s="298"/>
      <c r="D128" s="298"/>
      <c r="E128" s="298"/>
      <c r="F128" s="298"/>
      <c r="G128" s="298"/>
      <c r="H128" s="298"/>
      <c r="I128" s="299"/>
    </row>
    <row r="129" spans="1:9" x14ac:dyDescent="0.25">
      <c r="A129" s="313" t="s">
        <v>144</v>
      </c>
      <c r="B129" s="314"/>
      <c r="C129" s="314"/>
      <c r="D129" s="314"/>
      <c r="E129" s="314"/>
      <c r="F129" s="314"/>
      <c r="G129" s="314"/>
      <c r="H129" s="314"/>
      <c r="I129" s="315"/>
    </row>
    <row r="130" spans="1:9" ht="15.75" thickBot="1" x14ac:dyDescent="0.3">
      <c r="A130" s="306" t="s">
        <v>131</v>
      </c>
      <c r="B130" s="307"/>
      <c r="C130" s="307"/>
      <c r="D130" s="307"/>
      <c r="E130" s="307"/>
      <c r="F130" s="307"/>
      <c r="G130" s="307"/>
      <c r="H130" s="307"/>
      <c r="I130" s="308"/>
    </row>
    <row r="131" spans="1:9" ht="15.75" thickBot="1" x14ac:dyDescent="0.3">
      <c r="A131" s="253" t="s">
        <v>152</v>
      </c>
      <c r="B131" s="254"/>
      <c r="C131" s="254"/>
      <c r="D131" s="254"/>
      <c r="E131" s="254"/>
      <c r="F131" s="254"/>
      <c r="G131" s="254"/>
      <c r="H131" s="254"/>
      <c r="I131" s="255"/>
    </row>
    <row r="132" spans="1:9" x14ac:dyDescent="0.25">
      <c r="A132" s="256" t="s">
        <v>153</v>
      </c>
      <c r="B132" s="257"/>
      <c r="C132" s="257"/>
      <c r="D132" s="257"/>
      <c r="E132" s="257"/>
      <c r="F132" s="257"/>
      <c r="G132" s="257"/>
      <c r="H132" s="257"/>
      <c r="I132" s="258"/>
    </row>
    <row r="133" spans="1:9" ht="15.75" thickBot="1" x14ac:dyDescent="0.3">
      <c r="A133" s="309" t="s">
        <v>131</v>
      </c>
      <c r="B133" s="310"/>
      <c r="C133" s="310"/>
      <c r="D133" s="310"/>
      <c r="E133" s="310"/>
      <c r="F133" s="310"/>
      <c r="G133" s="310"/>
      <c r="H133" s="310"/>
      <c r="I133" s="311"/>
    </row>
    <row r="134" spans="1:9" ht="15.75" thickBot="1" x14ac:dyDescent="0.3">
      <c r="A134" s="145" t="s">
        <v>132</v>
      </c>
      <c r="B134" s="146"/>
      <c r="C134" s="146"/>
      <c r="D134" s="146"/>
      <c r="E134" s="146"/>
      <c r="F134" s="146"/>
      <c r="G134" s="146"/>
      <c r="H134" s="146"/>
      <c r="I134" s="151"/>
    </row>
    <row r="135" spans="1:9" x14ac:dyDescent="0.25">
      <c r="A135" s="156" t="s">
        <v>133</v>
      </c>
      <c r="B135" s="152"/>
      <c r="C135" s="152"/>
      <c r="D135" s="152"/>
      <c r="E135" s="152"/>
      <c r="F135" s="152"/>
      <c r="G135" s="152"/>
      <c r="H135" s="157"/>
      <c r="I135" s="158"/>
    </row>
    <row r="136" spans="1:9" x14ac:dyDescent="0.25">
      <c r="A136" s="148" t="s">
        <v>134</v>
      </c>
      <c r="B136" s="147"/>
      <c r="C136" s="147"/>
      <c r="D136" s="147"/>
      <c r="E136" s="147"/>
      <c r="F136" s="147"/>
      <c r="G136" s="147"/>
      <c r="H136" s="159"/>
      <c r="I136" s="160"/>
    </row>
    <row r="137" spans="1:9" x14ac:dyDescent="0.25">
      <c r="A137" s="148" t="s">
        <v>135</v>
      </c>
      <c r="B137" s="147"/>
      <c r="C137" s="147"/>
      <c r="D137" s="147"/>
      <c r="E137" s="147"/>
      <c r="F137" s="147"/>
      <c r="G137" s="147"/>
      <c r="H137" s="147"/>
      <c r="I137" s="154"/>
    </row>
    <row r="138" spans="1:9" x14ac:dyDescent="0.25">
      <c r="A138" s="148" t="s">
        <v>136</v>
      </c>
      <c r="B138" s="147"/>
      <c r="C138" s="147"/>
      <c r="D138" s="147"/>
      <c r="E138" s="147"/>
      <c r="F138" s="147"/>
      <c r="G138" s="147"/>
      <c r="H138" s="159"/>
      <c r="I138" s="160"/>
    </row>
    <row r="139" spans="1:9" x14ac:dyDescent="0.25">
      <c r="A139" s="148" t="s">
        <v>137</v>
      </c>
      <c r="B139" s="147"/>
      <c r="C139" s="147"/>
      <c r="D139" s="147"/>
      <c r="E139" s="147"/>
      <c r="F139" s="147"/>
      <c r="G139" s="147"/>
      <c r="H139" s="159"/>
      <c r="I139" s="160"/>
    </row>
    <row r="140" spans="1:9" ht="15.75" thickBot="1" x14ac:dyDescent="0.3">
      <c r="A140" s="149" t="s">
        <v>138</v>
      </c>
      <c r="B140" s="150"/>
      <c r="C140" s="150"/>
      <c r="D140" s="150"/>
      <c r="E140" s="150"/>
      <c r="F140" s="150"/>
      <c r="G140" s="150"/>
      <c r="H140" s="161"/>
      <c r="I140" s="162"/>
    </row>
  </sheetData>
  <mergeCells count="24">
    <mergeCell ref="A118:I118"/>
    <mergeCell ref="A119:I119"/>
    <mergeCell ref="A121:I121"/>
    <mergeCell ref="A123:I123"/>
    <mergeCell ref="A124:I124"/>
    <mergeCell ref="A52:A60"/>
    <mergeCell ref="A61:A99"/>
    <mergeCell ref="A100:A106"/>
    <mergeCell ref="A111:I111"/>
    <mergeCell ref="A113:I113"/>
    <mergeCell ref="A112:I112"/>
    <mergeCell ref="A109:I109"/>
    <mergeCell ref="C1:E1"/>
    <mergeCell ref="F1:F2"/>
    <mergeCell ref="C2:E2"/>
    <mergeCell ref="A4:A18"/>
    <mergeCell ref="A19:A51"/>
    <mergeCell ref="A132:I132"/>
    <mergeCell ref="A133:I133"/>
    <mergeCell ref="A127:I127"/>
    <mergeCell ref="A128:I128"/>
    <mergeCell ref="A129:I129"/>
    <mergeCell ref="A130:I130"/>
    <mergeCell ref="A131:I131"/>
  </mergeCell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Modelo 17% </vt:lpstr>
      <vt:lpstr>Modelo 12%</vt:lpstr>
      <vt:lpstr>Modelo 7%</vt:lpstr>
      <vt:lpstr>'Modelo 7%'!Titulos_de_impressao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2025-05-16T15:00:31Z</cp:lastPrinted>
  <dcterms:created xsi:type="dcterms:W3CDTF">2020-09-05T02:32:22Z</dcterms:created>
  <dcterms:modified xsi:type="dcterms:W3CDTF">2025-09-10T18:06:50Z</dcterms:modified>
</cp:coreProperties>
</file>